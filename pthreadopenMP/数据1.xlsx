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27979\Desktop\并行程序设计\pthreadopenMP\"/>
    </mc:Choice>
  </mc:AlternateContent>
  <xr:revisionPtr revIDLastSave="0" documentId="13_ncr:1_{71DAC512-2119-41E2-B2C9-96FDA1D13CF3}" xr6:coauthVersionLast="47" xr6:coauthVersionMax="47" xr10:uidLastSave="{00000000-0000-0000-0000-000000000000}"/>
  <bookViews>
    <workbookView xWindow="-5445" yWindow="-217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6" i="1" l="1"/>
  <c r="V27" i="1"/>
  <c r="V28" i="1"/>
  <c r="V25" i="1"/>
  <c r="U26" i="1"/>
  <c r="U27" i="1"/>
  <c r="U28" i="1"/>
  <c r="U25" i="1"/>
  <c r="S26" i="1"/>
  <c r="S27" i="1"/>
  <c r="S28" i="1"/>
  <c r="R26" i="1"/>
  <c r="R27" i="1"/>
  <c r="R28" i="1"/>
  <c r="R25" i="1"/>
  <c r="S25" i="1"/>
  <c r="J50" i="1"/>
  <c r="I50" i="1"/>
  <c r="F50" i="1"/>
  <c r="I40" i="1"/>
  <c r="H40" i="1"/>
  <c r="F40" i="1"/>
  <c r="P13" i="1"/>
  <c r="R13" i="1"/>
  <c r="S5" i="1"/>
  <c r="Q5" i="1"/>
  <c r="P5" i="1"/>
</calcChain>
</file>

<file path=xl/sharedStrings.xml><?xml version="1.0" encoding="utf-8"?>
<sst xmlns="http://schemas.openxmlformats.org/spreadsheetml/2006/main" count="71" uniqueCount="46">
  <si>
    <t>nprobe</t>
  </si>
  <si>
    <t>latency</t>
  </si>
  <si>
    <t>recall</t>
  </si>
  <si>
    <t>flat_latency</t>
  </si>
  <si>
    <t>pthread_latency_动态线程</t>
  </si>
  <si>
    <t>pthread_latency_静态线程</t>
  </si>
  <si>
    <t>pthread_latency_静态线程_cache</t>
  </si>
  <si>
    <t>openMP</t>
  </si>
  <si>
    <t>openMP_simd</t>
  </si>
  <si>
    <t>ivf</t>
    <phoneticPr fontId="2" type="noConversion"/>
  </si>
  <si>
    <t>ivf+pq</t>
    <phoneticPr fontId="2" type="noConversion"/>
  </si>
  <si>
    <t>flat</t>
    <phoneticPr fontId="2" type="noConversion"/>
  </si>
  <si>
    <t>openMP</t>
    <phoneticPr fontId="2" type="noConversion"/>
  </si>
  <si>
    <t>openMP+simd</t>
    <phoneticPr fontId="2" type="noConversion"/>
  </si>
  <si>
    <t>pq+ivf</t>
    <phoneticPr fontId="2" type="noConversion"/>
  </si>
  <si>
    <t>pthread_static</t>
    <phoneticPr fontId="2" type="noConversion"/>
  </si>
  <si>
    <t>L1_HIT</t>
    <phoneticPr fontId="2" type="noConversion"/>
  </si>
  <si>
    <t>L1_MISS</t>
    <phoneticPr fontId="2" type="noConversion"/>
  </si>
  <si>
    <t>L2_HIT</t>
    <phoneticPr fontId="2" type="noConversion"/>
  </si>
  <si>
    <t>L2_MISS</t>
    <phoneticPr fontId="2" type="noConversion"/>
  </si>
  <si>
    <t>L3_HIT</t>
    <phoneticPr fontId="2" type="noConversion"/>
  </si>
  <si>
    <t>L3_MISS</t>
    <phoneticPr fontId="2" type="noConversion"/>
  </si>
  <si>
    <t>reordered(cache-friendly)</t>
    <phoneticPr fontId="2" type="noConversion"/>
  </si>
  <si>
    <t>unordered</t>
    <phoneticPr fontId="2" type="noConversion"/>
  </si>
  <si>
    <t>instructions_retired</t>
    <phoneticPr fontId="2" type="noConversion"/>
  </si>
  <si>
    <t>CPI</t>
    <phoneticPr fontId="2" type="noConversion"/>
  </si>
  <si>
    <t>pthread_dynamic</t>
    <phoneticPr fontId="2" type="noConversion"/>
  </si>
  <si>
    <t>openMP+SIMD</t>
    <phoneticPr fontId="2" type="noConversion"/>
  </si>
  <si>
    <r>
      <t>1. 负优化原因</t>
    </r>
    <r>
      <rPr>
        <sz val="5"/>
        <color rgb="FF3B3B3B"/>
        <rFont val="Segoe UI"/>
        <family val="2"/>
      </rPr>
      <t>：</t>
    </r>
  </si>
  <si>
    <t>并行化引入的开销超过了收益</t>
  </si>
  <si>
    <t>收集邻居和创建距离向量的额外内存分配开销</t>
  </si>
  <si>
    <t>OpenMP线程创建和管理的开销</t>
  </si>
  <si>
    <t>批处理破坏了原算法中的早期剪枝效果（原算法可能在处理部分邻居后就通过lowerBound更新来剪枝后续计算）</t>
  </si>
  <si>
    <r>
      <t>2. 恢复为串行版本的好处</t>
    </r>
    <r>
      <rPr>
        <sz val="5"/>
        <color rgb="FF3B3B3B"/>
        <rFont val="Segoe UI"/>
        <family val="2"/>
      </rPr>
      <t>：</t>
    </r>
  </si>
  <si>
    <t>保持了HNSW算法贪心搜索的渐进性，每处理一个邻居就更新lowerBound</t>
  </si>
  <si>
    <t>避免了额外的内存分配</t>
  </si>
  <si>
    <t>更适合HNSW这类对局部性和剪枝敏感的算法</t>
  </si>
  <si>
    <t>消除了线程同步和管理开销</t>
  </si>
  <si>
    <t>multi(openMP)</t>
    <phoneticPr fontId="2" type="noConversion"/>
  </si>
  <si>
    <t>ivf+hnsw(openMP)</t>
    <phoneticPr fontId="2" type="noConversion"/>
  </si>
  <si>
    <t>ivf+hnsw(openMP+simd)</t>
    <phoneticPr fontId="2" type="noConversion"/>
  </si>
  <si>
    <t>PDNC(pthread)</t>
    <phoneticPr fontId="2" type="noConversion"/>
  </si>
  <si>
    <t>PDNC(OpenMP)</t>
    <phoneticPr fontId="2" type="noConversion"/>
  </si>
  <si>
    <t>IVF+HNSW(OpenMP)</t>
    <phoneticPr fontId="2" type="noConversion"/>
  </si>
  <si>
    <t>IVF+HNSW(OpenMP+SIMD)</t>
    <phoneticPr fontId="2" type="noConversion"/>
  </si>
  <si>
    <t>pthread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</si>
</sst>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8" formatCode="0.000_);[Red]\(0.000\)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5"/>
      <color rgb="FF3B3B3B"/>
      <name val="Segoe UI"/>
      <family val="2"/>
    </font>
    <font>
      <b/>
      <sz val="5"/>
      <color rgb="FF3B3B3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2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topLeftCell="K1" zoomScale="124" zoomScaleNormal="115" workbookViewId="0">
      <selection activeCell="U32" sqref="U32"/>
    </sheetView>
  </sheetViews>
  <sheetFormatPr defaultColWidth="9" defaultRowHeight="13.5" x14ac:dyDescent="0.3"/>
  <cols>
    <col min="1" max="1" width="25.59765625" customWidth="1"/>
    <col min="2" max="2" width="22.06640625" customWidth="1"/>
    <col min="3" max="3" width="18.265625" customWidth="1"/>
    <col min="4" max="4" width="18.9296875" customWidth="1"/>
    <col min="5" max="5" width="19.1328125" customWidth="1"/>
    <col min="6" max="6" width="22.796875" customWidth="1"/>
    <col min="7" max="7" width="17.73046875" customWidth="1"/>
    <col min="8" max="8" width="18.265625" customWidth="1"/>
    <col min="9" max="9" width="21.06640625" customWidth="1"/>
    <col min="10" max="10" width="26.265625" customWidth="1"/>
    <col min="11" max="12" width="9.53125"/>
    <col min="16" max="16" width="17.6640625" customWidth="1"/>
    <col min="17" max="17" width="29.265625" customWidth="1"/>
    <col min="18" max="18" width="26.6640625" customWidth="1"/>
    <col min="19" max="19" width="32.06640625" customWidth="1"/>
    <col min="20" max="20" width="14.6640625" customWidth="1"/>
    <col min="21" max="21" width="16.796875" customWidth="1"/>
  </cols>
  <sheetData>
    <row r="1" spans="1:21" x14ac:dyDescent="0.3">
      <c r="A1">
        <v>128</v>
      </c>
      <c r="B1" s="1" t="s">
        <v>0</v>
      </c>
      <c r="C1" t="s">
        <v>1</v>
      </c>
      <c r="D1" t="s">
        <v>2</v>
      </c>
      <c r="I1">
        <v>1024</v>
      </c>
      <c r="J1" t="s">
        <v>0</v>
      </c>
      <c r="K1" t="s">
        <v>1</v>
      </c>
      <c r="L1" t="s">
        <v>2</v>
      </c>
      <c r="N1" s="3" t="s">
        <v>9</v>
      </c>
      <c r="O1">
        <v>1024</v>
      </c>
      <c r="P1" t="s">
        <v>3</v>
      </c>
      <c r="Q1" t="s">
        <v>4</v>
      </c>
      <c r="R1" t="s">
        <v>5</v>
      </c>
      <c r="S1" s="2" t="s">
        <v>6</v>
      </c>
      <c r="T1" s="2" t="s">
        <v>7</v>
      </c>
      <c r="U1" s="2" t="s">
        <v>8</v>
      </c>
    </row>
    <row r="2" spans="1:21" x14ac:dyDescent="0.3">
      <c r="B2">
        <v>1</v>
      </c>
      <c r="C2">
        <v>269.66199999999998</v>
      </c>
      <c r="D2">
        <v>0.57784999999999997</v>
      </c>
      <c r="J2">
        <v>4</v>
      </c>
      <c r="K2">
        <v>293.32900000000001</v>
      </c>
      <c r="L2">
        <v>0.69675200000000004</v>
      </c>
      <c r="O2">
        <v>16</v>
      </c>
      <c r="P2">
        <v>966.45500000000004</v>
      </c>
      <c r="Q2">
        <v>720.11099999999999</v>
      </c>
      <c r="R2">
        <v>303.75900000000001</v>
      </c>
      <c r="S2">
        <v>203.88</v>
      </c>
      <c r="T2">
        <v>126.733</v>
      </c>
      <c r="U2">
        <v>70.749499999999998</v>
      </c>
    </row>
    <row r="3" spans="1:21" x14ac:dyDescent="0.3">
      <c r="B3">
        <v>2</v>
      </c>
      <c r="C3">
        <v>715.40300000000002</v>
      </c>
      <c r="D3">
        <v>0.74705100000000002</v>
      </c>
      <c r="J3">
        <v>8</v>
      </c>
      <c r="K3">
        <v>408.99299999999999</v>
      </c>
      <c r="L3">
        <v>0.82430300000000001</v>
      </c>
      <c r="O3">
        <v>0.90960399999999997</v>
      </c>
      <c r="P3">
        <v>801.02</v>
      </c>
      <c r="Q3">
        <v>691.35599999999999</v>
      </c>
      <c r="R3">
        <v>302.75099999999998</v>
      </c>
      <c r="S3">
        <v>211.35400000000001</v>
      </c>
      <c r="T3">
        <v>157.428</v>
      </c>
      <c r="U3">
        <v>68.6785</v>
      </c>
    </row>
    <row r="4" spans="1:21" x14ac:dyDescent="0.3">
      <c r="B4">
        <v>3</v>
      </c>
      <c r="C4">
        <v>764.60900000000004</v>
      </c>
      <c r="D4">
        <v>0.82925099999999996</v>
      </c>
      <c r="J4">
        <v>12</v>
      </c>
      <c r="K4">
        <v>514.50599999999997</v>
      </c>
      <c r="L4">
        <v>0.87875400000000004</v>
      </c>
      <c r="P4">
        <v>827.43200000000002</v>
      </c>
      <c r="Q4">
        <v>678.43299999999999</v>
      </c>
      <c r="R4">
        <v>261.67</v>
      </c>
      <c r="S4">
        <v>201.5</v>
      </c>
      <c r="T4">
        <v>134.011</v>
      </c>
      <c r="U4">
        <v>82.56</v>
      </c>
    </row>
    <row r="5" spans="1:21" x14ac:dyDescent="0.3">
      <c r="B5">
        <v>4</v>
      </c>
      <c r="C5">
        <v>946.678</v>
      </c>
      <c r="D5">
        <v>0.87365300000000001</v>
      </c>
      <c r="J5">
        <v>16</v>
      </c>
      <c r="K5">
        <v>695.904</v>
      </c>
      <c r="L5">
        <v>0.90960399999999997</v>
      </c>
      <c r="P5">
        <f>AVERAGE(P2:P4)</f>
        <v>864.96900000000005</v>
      </c>
      <c r="Q5">
        <f>AVERAGE(Q2:Q4)</f>
        <v>696.63333333333298</v>
      </c>
      <c r="R5">
        <v>286.65499999999997</v>
      </c>
      <c r="S5">
        <f>AVERAGE(S2:S4)</f>
        <v>205.578</v>
      </c>
      <c r="T5">
        <v>129.56399999999999</v>
      </c>
      <c r="U5">
        <v>78.921999999999997</v>
      </c>
    </row>
    <row r="6" spans="1:21" x14ac:dyDescent="0.3">
      <c r="B6">
        <v>5</v>
      </c>
      <c r="C6">
        <v>1180.55</v>
      </c>
      <c r="D6">
        <v>0.90345200000000003</v>
      </c>
      <c r="J6">
        <v>20</v>
      </c>
      <c r="K6">
        <v>800.16399999999999</v>
      </c>
      <c r="L6">
        <v>0.93005300000000002</v>
      </c>
    </row>
    <row r="7" spans="1:21" x14ac:dyDescent="0.3">
      <c r="B7">
        <v>6</v>
      </c>
      <c r="C7">
        <v>1468.33</v>
      </c>
      <c r="D7">
        <v>0.92240299999999997</v>
      </c>
      <c r="J7">
        <v>24</v>
      </c>
      <c r="K7">
        <v>854.66200000000003</v>
      </c>
      <c r="L7">
        <v>0.94265200000000005</v>
      </c>
    </row>
    <row r="8" spans="1:21" x14ac:dyDescent="0.3">
      <c r="B8">
        <v>7</v>
      </c>
      <c r="C8">
        <v>1703.99</v>
      </c>
      <c r="D8">
        <v>0.93735299999999999</v>
      </c>
      <c r="J8">
        <v>28</v>
      </c>
      <c r="K8">
        <v>967.69299999999998</v>
      </c>
      <c r="L8">
        <v>0.95295200000000002</v>
      </c>
    </row>
    <row r="9" spans="1:21" x14ac:dyDescent="0.3">
      <c r="B9">
        <v>8</v>
      </c>
      <c r="C9">
        <v>1952.1</v>
      </c>
      <c r="D9">
        <v>0.948102</v>
      </c>
      <c r="J9">
        <v>32</v>
      </c>
      <c r="K9">
        <v>1144.8599999999999</v>
      </c>
      <c r="L9">
        <v>0.961202</v>
      </c>
      <c r="N9" s="3" t="s">
        <v>10</v>
      </c>
      <c r="P9" s="3" t="s">
        <v>11</v>
      </c>
      <c r="Q9" s="3" t="s">
        <v>15</v>
      </c>
      <c r="R9" s="3" t="s">
        <v>12</v>
      </c>
      <c r="S9" s="3" t="s">
        <v>13</v>
      </c>
    </row>
    <row r="10" spans="1:21" x14ac:dyDescent="0.3">
      <c r="N10">
        <v>16</v>
      </c>
      <c r="P10">
        <v>450.02</v>
      </c>
      <c r="Q10">
        <v>392.36200000000002</v>
      </c>
      <c r="R10">
        <v>171.31</v>
      </c>
      <c r="S10">
        <v>146.32</v>
      </c>
    </row>
    <row r="11" spans="1:21" x14ac:dyDescent="0.3">
      <c r="A11">
        <v>256</v>
      </c>
      <c r="B11" t="s">
        <v>0</v>
      </c>
      <c r="C11" t="s">
        <v>1</v>
      </c>
      <c r="D11" t="s">
        <v>2</v>
      </c>
      <c r="I11">
        <v>2048</v>
      </c>
      <c r="J11" t="s">
        <v>0</v>
      </c>
      <c r="K11" t="s">
        <v>1</v>
      </c>
      <c r="L11" t="s">
        <v>2</v>
      </c>
      <c r="N11">
        <v>16</v>
      </c>
      <c r="P11">
        <v>462.12900000000002</v>
      </c>
      <c r="Q11">
        <v>371.03500000000003</v>
      </c>
      <c r="R11">
        <v>163.87</v>
      </c>
      <c r="S11">
        <v>153.30699999999999</v>
      </c>
    </row>
    <row r="12" spans="1:21" x14ac:dyDescent="0.3">
      <c r="B12">
        <v>1</v>
      </c>
      <c r="C12">
        <v>217.47800000000001</v>
      </c>
      <c r="D12">
        <v>0.50585000000000002</v>
      </c>
      <c r="J12">
        <v>4</v>
      </c>
      <c r="K12">
        <v>431.54399999999998</v>
      </c>
      <c r="L12">
        <v>0.62430099999999999</v>
      </c>
      <c r="N12">
        <v>1024</v>
      </c>
      <c r="P12">
        <v>431.23</v>
      </c>
      <c r="Q12">
        <v>380.32400000000001</v>
      </c>
      <c r="R12">
        <v>181.29</v>
      </c>
      <c r="S12">
        <v>155.798</v>
      </c>
    </row>
    <row r="13" spans="1:21" x14ac:dyDescent="0.3">
      <c r="B13">
        <v>2</v>
      </c>
      <c r="C13">
        <v>323.916</v>
      </c>
      <c r="D13">
        <v>0.67975099999999999</v>
      </c>
      <c r="J13">
        <v>8</v>
      </c>
      <c r="K13">
        <v>524.76599999999996</v>
      </c>
      <c r="L13">
        <v>0.762652</v>
      </c>
      <c r="N13">
        <v>16</v>
      </c>
      <c r="P13">
        <f>AVERAGE(P10:P12)</f>
        <v>447.79299999999995</v>
      </c>
      <c r="Q13">
        <v>380.58300000000003</v>
      </c>
      <c r="R13">
        <f>AVERAGE(R10:R12)</f>
        <v>172.15666666666667</v>
      </c>
      <c r="S13">
        <v>150.21</v>
      </c>
    </row>
    <row r="14" spans="1:21" x14ac:dyDescent="0.3">
      <c r="B14">
        <v>4</v>
      </c>
      <c r="C14">
        <v>561.80799999999999</v>
      </c>
      <c r="D14">
        <v>0.82080299999999995</v>
      </c>
      <c r="J14">
        <v>12</v>
      </c>
      <c r="K14">
        <v>592.10900000000004</v>
      </c>
      <c r="L14">
        <v>0.83185200000000004</v>
      </c>
      <c r="N14">
        <v>110</v>
      </c>
    </row>
    <row r="15" spans="1:21" x14ac:dyDescent="0.3">
      <c r="B15">
        <v>6</v>
      </c>
      <c r="C15">
        <v>776.73699999999997</v>
      </c>
      <c r="D15">
        <v>0.88115299999999996</v>
      </c>
      <c r="J15">
        <v>16</v>
      </c>
      <c r="K15">
        <v>605.14400000000001</v>
      </c>
      <c r="L15">
        <v>0.870452</v>
      </c>
    </row>
    <row r="16" spans="1:21" x14ac:dyDescent="0.3">
      <c r="B16">
        <v>8</v>
      </c>
      <c r="C16">
        <v>1199.82</v>
      </c>
      <c r="D16">
        <v>0.91620299999999999</v>
      </c>
      <c r="J16">
        <v>20</v>
      </c>
      <c r="K16">
        <v>637.94399999999996</v>
      </c>
      <c r="L16">
        <v>0.89535299999999995</v>
      </c>
    </row>
    <row r="17" spans="1:22" x14ac:dyDescent="0.3">
      <c r="B17">
        <v>10</v>
      </c>
      <c r="C17">
        <v>1368.84</v>
      </c>
      <c r="D17">
        <v>0.93720300000000001</v>
      </c>
      <c r="J17">
        <v>28</v>
      </c>
      <c r="K17">
        <v>812.29399999999998</v>
      </c>
      <c r="L17">
        <v>0.92835299999999998</v>
      </c>
      <c r="N17" s="3" t="s">
        <v>14</v>
      </c>
      <c r="P17" s="3" t="s">
        <v>11</v>
      </c>
      <c r="Q17" s="3"/>
      <c r="R17" s="3"/>
      <c r="S17" s="3"/>
    </row>
    <row r="18" spans="1:22" x14ac:dyDescent="0.3">
      <c r="B18">
        <v>12</v>
      </c>
      <c r="C18">
        <v>1553.06</v>
      </c>
      <c r="D18">
        <v>0.94990300000000005</v>
      </c>
      <c r="J18">
        <v>32</v>
      </c>
      <c r="K18">
        <v>879.68</v>
      </c>
      <c r="L18">
        <v>0.93820300000000001</v>
      </c>
      <c r="N18">
        <v>16</v>
      </c>
      <c r="P18">
        <v>900.88800000000003</v>
      </c>
    </row>
    <row r="19" spans="1:22" x14ac:dyDescent="0.3">
      <c r="B19">
        <v>14</v>
      </c>
      <c r="C19">
        <v>1812.84</v>
      </c>
      <c r="D19">
        <v>0.96040300000000001</v>
      </c>
      <c r="J19">
        <v>36</v>
      </c>
      <c r="K19">
        <v>898.90899999999999</v>
      </c>
      <c r="L19">
        <v>0.94600300000000004</v>
      </c>
      <c r="N19">
        <v>16</v>
      </c>
      <c r="P19">
        <v>924.346</v>
      </c>
    </row>
    <row r="20" spans="1:22" x14ac:dyDescent="0.3">
      <c r="A20">
        <v>512</v>
      </c>
      <c r="B20" t="s">
        <v>0</v>
      </c>
      <c r="C20" t="s">
        <v>1</v>
      </c>
      <c r="D20" t="s">
        <v>2</v>
      </c>
      <c r="I20">
        <v>4096</v>
      </c>
      <c r="N20">
        <v>1024</v>
      </c>
      <c r="P20">
        <v>894.21900000000005</v>
      </c>
    </row>
    <row r="21" spans="1:22" x14ac:dyDescent="0.3">
      <c r="B21">
        <v>4</v>
      </c>
      <c r="C21">
        <v>350.923</v>
      </c>
      <c r="D21">
        <v>0.76480300000000001</v>
      </c>
      <c r="J21" t="s">
        <v>0</v>
      </c>
      <c r="K21" t="s">
        <v>1</v>
      </c>
      <c r="L21" t="s">
        <v>2</v>
      </c>
      <c r="N21">
        <v>16</v>
      </c>
      <c r="P21">
        <v>934.21400000000006</v>
      </c>
    </row>
    <row r="22" spans="1:22" x14ac:dyDescent="0.3">
      <c r="B22">
        <v>8</v>
      </c>
      <c r="C22">
        <v>549.75300000000004</v>
      </c>
      <c r="D22">
        <v>0.87650300000000003</v>
      </c>
      <c r="J22">
        <v>8</v>
      </c>
      <c r="K22">
        <v>767.55600000000004</v>
      </c>
      <c r="L22">
        <v>0.70990200000000003</v>
      </c>
      <c r="N22">
        <v>110</v>
      </c>
    </row>
    <row r="23" spans="1:22" x14ac:dyDescent="0.3">
      <c r="B23">
        <v>12</v>
      </c>
      <c r="C23">
        <v>821.66099999999994</v>
      </c>
      <c r="D23">
        <v>0.92120299999999999</v>
      </c>
      <c r="J23">
        <v>16</v>
      </c>
      <c r="K23">
        <v>782.94299999999998</v>
      </c>
      <c r="L23">
        <v>0.825152</v>
      </c>
    </row>
    <row r="24" spans="1:22" x14ac:dyDescent="0.3">
      <c r="B24">
        <v>14</v>
      </c>
      <c r="C24">
        <v>977.27800000000002</v>
      </c>
      <c r="D24">
        <v>0.93580300000000005</v>
      </c>
      <c r="J24">
        <v>24</v>
      </c>
      <c r="K24">
        <v>861.43799999999999</v>
      </c>
      <c r="L24">
        <v>0.87860300000000002</v>
      </c>
      <c r="R24">
        <v>2</v>
      </c>
      <c r="S24">
        <v>4</v>
      </c>
      <c r="T24">
        <v>8</v>
      </c>
      <c r="U24">
        <v>12</v>
      </c>
      <c r="V24">
        <v>16</v>
      </c>
    </row>
    <row r="25" spans="1:22" x14ac:dyDescent="0.3">
      <c r="B25">
        <v>16</v>
      </c>
      <c r="C25">
        <v>1083.48</v>
      </c>
      <c r="D25">
        <v>0.94500300000000004</v>
      </c>
      <c r="J25">
        <v>32</v>
      </c>
      <c r="K25">
        <v>942.55799999999999</v>
      </c>
      <c r="L25">
        <v>0.910103</v>
      </c>
      <c r="R25">
        <f>T25*2.02</f>
        <v>792.5712400000001</v>
      </c>
      <c r="S25">
        <f>T25*1.4</f>
        <v>549.30679999999995</v>
      </c>
      <c r="T25">
        <v>392.36200000000002</v>
      </c>
      <c r="U25">
        <f>T25*1.02</f>
        <v>400.20924000000002</v>
      </c>
      <c r="V25">
        <f>T25*1.2</f>
        <v>470.83440000000002</v>
      </c>
    </row>
    <row r="26" spans="1:22" x14ac:dyDescent="0.3">
      <c r="B26">
        <v>18</v>
      </c>
      <c r="C26">
        <v>1115.8</v>
      </c>
      <c r="D26">
        <v>0.95370299999999997</v>
      </c>
      <c r="J26">
        <v>48</v>
      </c>
      <c r="K26">
        <v>1082.53</v>
      </c>
      <c r="L26">
        <v>0.943303</v>
      </c>
      <c r="R26">
        <f t="shared" ref="R26:R28" si="0">T26*2.02</f>
        <v>749.49070000000006</v>
      </c>
      <c r="S26">
        <f t="shared" ref="S26:S28" si="1">T26*1.4</f>
        <v>519.44899999999996</v>
      </c>
      <c r="T26">
        <v>371.03500000000003</v>
      </c>
      <c r="U26">
        <f t="shared" ref="U26:U28" si="2">T26*1.02</f>
        <v>378.45570000000004</v>
      </c>
      <c r="V26">
        <f t="shared" ref="V26:V28" si="3">T26*1.2</f>
        <v>445.24200000000002</v>
      </c>
    </row>
    <row r="27" spans="1:22" x14ac:dyDescent="0.3">
      <c r="B27">
        <v>22</v>
      </c>
      <c r="C27">
        <v>1309.01</v>
      </c>
      <c r="D27">
        <v>0.96420300000000003</v>
      </c>
      <c r="J27">
        <v>60</v>
      </c>
      <c r="K27">
        <v>1154.93</v>
      </c>
      <c r="L27">
        <v>0.95610300000000004</v>
      </c>
      <c r="R27">
        <f t="shared" si="0"/>
        <v>768.25448000000006</v>
      </c>
      <c r="S27">
        <f t="shared" si="1"/>
        <v>532.45359999999994</v>
      </c>
      <c r="T27">
        <v>380.32400000000001</v>
      </c>
      <c r="U27">
        <f t="shared" si="2"/>
        <v>387.93048000000005</v>
      </c>
      <c r="V27">
        <f t="shared" si="3"/>
        <v>456.3888</v>
      </c>
    </row>
    <row r="28" spans="1:22" x14ac:dyDescent="0.3">
      <c r="R28">
        <f t="shared" si="0"/>
        <v>768.77766000000008</v>
      </c>
      <c r="S28">
        <f t="shared" si="1"/>
        <v>532.81619999999998</v>
      </c>
      <c r="T28">
        <v>380.58300000000003</v>
      </c>
      <c r="U28">
        <f t="shared" si="2"/>
        <v>388.19466000000006</v>
      </c>
      <c r="V28">
        <f t="shared" si="3"/>
        <v>456.69960000000003</v>
      </c>
    </row>
    <row r="30" spans="1:22" x14ac:dyDescent="0.3">
      <c r="B30" s="3" t="s">
        <v>16</v>
      </c>
      <c r="C30" s="3" t="s">
        <v>17</v>
      </c>
      <c r="D30" s="3" t="s">
        <v>18</v>
      </c>
      <c r="E30" s="3" t="s">
        <v>19</v>
      </c>
      <c r="F30" s="3" t="s">
        <v>20</v>
      </c>
      <c r="G30" s="3" t="s">
        <v>21</v>
      </c>
    </row>
    <row r="31" spans="1:22" x14ac:dyDescent="0.3">
      <c r="A31" s="3" t="s">
        <v>22</v>
      </c>
      <c r="B31" s="4">
        <v>6944442180</v>
      </c>
      <c r="C31" s="4">
        <v>38365800</v>
      </c>
      <c r="D31" s="4">
        <v>28869685</v>
      </c>
      <c r="E31" s="4">
        <v>9548030</v>
      </c>
      <c r="F31" s="4">
        <v>6177345</v>
      </c>
      <c r="G31" s="4">
        <v>683370</v>
      </c>
    </row>
    <row r="32" spans="1:22" x14ac:dyDescent="0.3">
      <c r="A32" s="3" t="s">
        <v>23</v>
      </c>
      <c r="B32" s="4">
        <v>7515895400</v>
      </c>
      <c r="C32" s="4">
        <v>146631900</v>
      </c>
      <c r="D32" s="4">
        <v>11437560</v>
      </c>
      <c r="E32" s="4">
        <v>12548030</v>
      </c>
      <c r="F32" s="4">
        <v>553010</v>
      </c>
      <c r="G32" s="4">
        <v>608150</v>
      </c>
    </row>
    <row r="33" spans="1:15" x14ac:dyDescent="0.3">
      <c r="B33" s="4"/>
      <c r="C33" s="4"/>
      <c r="D33" s="4"/>
      <c r="E33" s="4"/>
      <c r="F33" s="4"/>
      <c r="G33" s="4"/>
    </row>
    <row r="34" spans="1:15" x14ac:dyDescent="0.3">
      <c r="J34" s="8" t="s">
        <v>28</v>
      </c>
    </row>
    <row r="35" spans="1:15" x14ac:dyDescent="0.3">
      <c r="J35" s="9"/>
    </row>
    <row r="36" spans="1:15" x14ac:dyDescent="0.3">
      <c r="F36" s="3" t="s">
        <v>11</v>
      </c>
      <c r="G36" s="3" t="s">
        <v>38</v>
      </c>
      <c r="H36" s="3" t="s">
        <v>39</v>
      </c>
      <c r="I36" s="3" t="s">
        <v>40</v>
      </c>
      <c r="J36" s="10" t="s">
        <v>29</v>
      </c>
    </row>
    <row r="37" spans="1:15" ht="14.25" x14ac:dyDescent="0.3">
      <c r="B37" s="3" t="s">
        <v>24</v>
      </c>
      <c r="C37" s="5" t="s">
        <v>25</v>
      </c>
      <c r="D37" s="6"/>
      <c r="F37">
        <v>159.15100000000001</v>
      </c>
      <c r="G37">
        <v>200.93</v>
      </c>
      <c r="H37">
        <v>111.68899999999999</v>
      </c>
      <c r="I37">
        <v>94.828500000000005</v>
      </c>
      <c r="J37" s="10" t="s">
        <v>30</v>
      </c>
    </row>
    <row r="38" spans="1:15" x14ac:dyDescent="0.3">
      <c r="A38" s="3" t="s">
        <v>11</v>
      </c>
      <c r="B38">
        <v>4456100000</v>
      </c>
      <c r="C38">
        <v>0.997</v>
      </c>
      <c r="E38" s="3"/>
      <c r="F38">
        <v>151.68299999999999</v>
      </c>
      <c r="G38">
        <v>178.66900000000001</v>
      </c>
      <c r="H38">
        <v>111.601</v>
      </c>
      <c r="I38">
        <v>94.381</v>
      </c>
      <c r="J38" s="10" t="s">
        <v>31</v>
      </c>
      <c r="L38">
        <v>32</v>
      </c>
      <c r="M38">
        <v>4</v>
      </c>
      <c r="N38">
        <v>20</v>
      </c>
      <c r="O38">
        <v>14</v>
      </c>
    </row>
    <row r="39" spans="1:15" ht="21.4" x14ac:dyDescent="0.3">
      <c r="A39" s="3" t="s">
        <v>26</v>
      </c>
      <c r="B39">
        <v>8550083600</v>
      </c>
      <c r="C39">
        <v>1.2310000000000001</v>
      </c>
      <c r="F39">
        <v>149.71</v>
      </c>
      <c r="G39">
        <v>214.82300000000001</v>
      </c>
      <c r="H39">
        <v>113.76</v>
      </c>
      <c r="I39">
        <v>93.718999999999994</v>
      </c>
      <c r="J39" s="10" t="s">
        <v>32</v>
      </c>
    </row>
    <row r="40" spans="1:15" x14ac:dyDescent="0.3">
      <c r="A40" s="3" t="s">
        <v>15</v>
      </c>
      <c r="B40">
        <v>7316077200</v>
      </c>
      <c r="C40">
        <v>1.169</v>
      </c>
      <c r="F40" s="7">
        <f>AVERAGE(F37:F39)</f>
        <v>153.51466666666667</v>
      </c>
      <c r="G40">
        <v>186.15600000000001</v>
      </c>
      <c r="H40">
        <f>AVERAGE(H37:H39)</f>
        <v>112.35000000000001</v>
      </c>
      <c r="I40">
        <f>AVERAGE(I37:I39)</f>
        <v>94.3095</v>
      </c>
      <c r="J40" s="8" t="s">
        <v>33</v>
      </c>
    </row>
    <row r="41" spans="1:15" x14ac:dyDescent="0.3">
      <c r="A41" s="3" t="s">
        <v>12</v>
      </c>
      <c r="B41">
        <v>5864398700</v>
      </c>
      <c r="C41">
        <v>1.3460000000000001</v>
      </c>
      <c r="J41" s="9"/>
    </row>
    <row r="42" spans="1:15" ht="14.25" x14ac:dyDescent="0.3">
      <c r="A42" s="3" t="s">
        <v>27</v>
      </c>
      <c r="B42">
        <v>4892010000</v>
      </c>
      <c r="C42">
        <v>1.411</v>
      </c>
      <c r="J42" s="10" t="s">
        <v>34</v>
      </c>
    </row>
    <row r="43" spans="1:15" x14ac:dyDescent="0.3">
      <c r="J43" s="10" t="s">
        <v>35</v>
      </c>
    </row>
    <row r="44" spans="1:15" x14ac:dyDescent="0.3">
      <c r="J44" s="10" t="s">
        <v>36</v>
      </c>
    </row>
    <row r="45" spans="1:15" x14ac:dyDescent="0.3">
      <c r="J45" s="10" t="s">
        <v>37</v>
      </c>
    </row>
    <row r="46" spans="1:15" x14ac:dyDescent="0.3">
      <c r="F46" s="3" t="s">
        <v>11</v>
      </c>
      <c r="G46" s="3" t="s">
        <v>41</v>
      </c>
      <c r="H46" s="3" t="s">
        <v>42</v>
      </c>
      <c r="I46" s="3" t="s">
        <v>43</v>
      </c>
      <c r="J46" s="3" t="s">
        <v>44</v>
      </c>
    </row>
    <row r="47" spans="1:15" x14ac:dyDescent="0.3">
      <c r="B47" s="3" t="s">
        <v>24</v>
      </c>
      <c r="C47" s="5" t="s">
        <v>25</v>
      </c>
      <c r="F47">
        <v>159.15100000000001</v>
      </c>
      <c r="G47">
        <v>324.12</v>
      </c>
      <c r="H47">
        <v>200.93</v>
      </c>
      <c r="I47">
        <v>111.68899999999999</v>
      </c>
      <c r="J47">
        <v>94.828500000000005</v>
      </c>
    </row>
    <row r="48" spans="1:15" x14ac:dyDescent="0.3">
      <c r="A48" s="3" t="s">
        <v>11</v>
      </c>
      <c r="B48">
        <v>1429600000</v>
      </c>
      <c r="C48" s="11">
        <v>1.0509999999999999</v>
      </c>
      <c r="F48">
        <v>151.68299999999999</v>
      </c>
      <c r="G48">
        <v>331.221</v>
      </c>
      <c r="H48">
        <v>178.66900000000001</v>
      </c>
      <c r="I48">
        <v>111.601</v>
      </c>
      <c r="J48">
        <v>94.381</v>
      </c>
    </row>
    <row r="49" spans="1:10" x14ac:dyDescent="0.3">
      <c r="A49" s="3" t="s">
        <v>45</v>
      </c>
      <c r="B49">
        <v>5296300000</v>
      </c>
      <c r="C49">
        <v>1.421</v>
      </c>
      <c r="F49">
        <v>149.71</v>
      </c>
      <c r="G49">
        <v>299.017</v>
      </c>
      <c r="H49">
        <v>214.82300000000001</v>
      </c>
      <c r="I49">
        <v>113.76</v>
      </c>
      <c r="J49">
        <v>93.718999999999994</v>
      </c>
    </row>
    <row r="50" spans="1:10" x14ac:dyDescent="0.3">
      <c r="A50" s="3" t="s">
        <v>12</v>
      </c>
      <c r="B50">
        <v>3170746300</v>
      </c>
      <c r="C50">
        <v>1.502</v>
      </c>
      <c r="F50" s="7">
        <f>AVERAGE(F47:F49)</f>
        <v>153.51466666666667</v>
      </c>
      <c r="G50">
        <v>302.83999999999997</v>
      </c>
      <c r="H50">
        <v>186.15600000000001</v>
      </c>
      <c r="I50">
        <f>AVERAGE(I47:I49)</f>
        <v>112.35000000000001</v>
      </c>
      <c r="J50">
        <f>AVERAGE(J47:J49)</f>
        <v>94.3095</v>
      </c>
    </row>
    <row r="51" spans="1:10" x14ac:dyDescent="0.3">
      <c r="A51" s="3"/>
    </row>
    <row r="52" spans="1:10" x14ac:dyDescent="0.3">
      <c r="A52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 James</dc:creator>
  <cp:lastModifiedBy>Fun James</cp:lastModifiedBy>
  <dcterms:created xsi:type="dcterms:W3CDTF">2023-05-12T11:15:00Z</dcterms:created>
  <dcterms:modified xsi:type="dcterms:W3CDTF">2025-05-24T07:11:47Z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846C1F1D286A4881866789A900E60EE3_12</vt:lpwstr>
  </property>
</Properties>
</file>