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<sst xmlns="http://schemas.openxmlformats.org/spreadsheetml/2006/main" count="20" uniqueCount="15">
  <si>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QPS</t>
  </si>
  <si>
    <t>recall=0.90</t>
  </si>
  <si>
    <t>recall=1</t>
  </si>
  <si>
    <t>flat</t>
  </si>
  <si>
    <t>GPU</t>
  </si>
  <si>
    <t>ivf_cpu</t>
  </si>
  <si>
    <t>ivf_gpu</t>
  </si>
  <si>
    <t>IVF_faiss_gpu</t>
  </si>
  <si>
    <t>GPU_500</t>
  </si>
  <si>
    <t>GPU_1000</t>
  </si>
  <si>
    <t>GPU_2000</t>
  </si>
  <si>
    <t>GPU_5000</t>
  </si>
  <si>
    <t>GPU_10000</t>
  </si>
  <si>
    <t>IVF_cpu</t>
  </si>
  <si>
    <t>IVF_gpu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</si>
</sst>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.75"/>
      <color rgb="FF3B3B3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zoomScale="115" zoomScaleNormal="115" topLeftCell="G1" workbookViewId="0">
      <selection activeCell="Q26" sqref="Q26"/>
    </sheetView>
  </sheetViews>
  <sheetFormatPr defaultColWidth="9" defaultRowHeight="13.5"/>
  <cols>
    <col min="2" max="5" width="12.7964601769912"/>
    <col min="6" max="6" width="13.1327433628319" customWidth="1"/>
    <col min="7" max="7" width="12.7964601769912"/>
    <col min="8" max="8" width="14.3362831858407" customWidth="1"/>
    <col min="10" max="10" width="16.7964601769912" customWidth="1"/>
    <col min="11" max="16" width="12.7964601769912"/>
  </cols>
  <sheetData>
    <row r="1" spans="2:6">
      <c r="B1" t="s">
        <v>0</v>
      </c>
      <c r="F1" t="s">
        <v>1</v>
      </c>
    </row>
    <row r="2" spans="2:8">
      <c r="B2" t="s">
        <v>2</v>
      </c>
      <c r="C2" t="s">
        <v>3</v>
      </c>
      <c r="D2" t="s">
        <v>4</v>
      </c>
      <c r="G2" t="s">
        <v>5</v>
      </c>
      <c r="H2" t="s">
        <v>6</v>
      </c>
    </row>
    <row r="3" spans="3:17">
      <c r="C3">
        <v>105.089925449207</v>
      </c>
      <c r="D3">
        <v>13901.1</v>
      </c>
      <c r="G3">
        <v>3382.39</v>
      </c>
      <c r="H3" s="1">
        <v>1122960</v>
      </c>
      <c r="J3" s="2" t="s">
        <v>7</v>
      </c>
      <c r="L3">
        <v>0.684352</v>
      </c>
      <c r="M3">
        <v>0.813753</v>
      </c>
      <c r="N3">
        <v>0.904603</v>
      </c>
      <c r="O3">
        <v>0.959403</v>
      </c>
      <c r="P3">
        <v>0.986202</v>
      </c>
      <c r="Q3">
        <v>0.996301</v>
      </c>
    </row>
    <row r="4" spans="3:17">
      <c r="C4">
        <v>104.703819071801</v>
      </c>
      <c r="D4">
        <v>13917</v>
      </c>
      <c r="G4">
        <v>3374.94</v>
      </c>
      <c r="H4" s="1">
        <v>1114830</v>
      </c>
      <c r="L4" s="1">
        <v>2509410</v>
      </c>
      <c r="M4" s="1">
        <v>1912050</v>
      </c>
      <c r="N4" s="1">
        <v>1151410</v>
      </c>
      <c r="O4">
        <v>660066</v>
      </c>
      <c r="P4">
        <v>355429</v>
      </c>
      <c r="Q4">
        <v>183739</v>
      </c>
    </row>
    <row r="5" spans="3:8">
      <c r="C5">
        <v>104.973982198512</v>
      </c>
      <c r="D5">
        <v>13713.3</v>
      </c>
      <c r="G5">
        <v>3420.21</v>
      </c>
      <c r="H5" s="1">
        <v>1131220</v>
      </c>
    </row>
    <row r="6" spans="3:8">
      <c r="C6">
        <v>105.137104040524</v>
      </c>
      <c r="D6">
        <v>13704.4</v>
      </c>
      <c r="G6">
        <v>3377.5</v>
      </c>
      <c r="H6" s="1">
        <v>1122330</v>
      </c>
    </row>
    <row r="7" spans="3:3">
      <c r="C7">
        <f>STDEV(C3:C6)</f>
        <v>0.194096090041101</v>
      </c>
    </row>
    <row r="8" spans="1:19">
      <c r="A8" t="s">
        <v>0</v>
      </c>
      <c r="B8" t="s">
        <v>3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J8" s="2" t="s">
        <v>13</v>
      </c>
      <c r="K8">
        <v>0.81</v>
      </c>
      <c r="L8">
        <v>0.68</v>
      </c>
      <c r="M8">
        <v>0.858901</v>
      </c>
      <c r="N8">
        <v>0.904301</v>
      </c>
      <c r="O8">
        <v>0.931501</v>
      </c>
      <c r="P8">
        <v>0.959701</v>
      </c>
      <c r="Q8">
        <v>0.971001</v>
      </c>
      <c r="R8">
        <v>0.988401</v>
      </c>
      <c r="S8">
        <v>0.9943</v>
      </c>
    </row>
    <row r="9" spans="1:19">
      <c r="A9" t="s">
        <v>2</v>
      </c>
      <c r="B9">
        <v>105.089925449207</v>
      </c>
      <c r="C9">
        <v>13901.1</v>
      </c>
      <c r="D9">
        <v>27453.6</v>
      </c>
      <c r="E9">
        <v>50403</v>
      </c>
      <c r="F9">
        <v>107882</v>
      </c>
      <c r="G9">
        <v>170004</v>
      </c>
      <c r="K9">
        <v>4489.32</v>
      </c>
      <c r="L9">
        <v>6903.55</v>
      </c>
      <c r="M9">
        <v>4290.81</v>
      </c>
      <c r="N9">
        <v>3331.71</v>
      </c>
      <c r="O9">
        <v>2525.41</v>
      </c>
      <c r="P9">
        <v>1585.13</v>
      </c>
      <c r="Q9">
        <v>1236.14</v>
      </c>
      <c r="R9">
        <v>630.034</v>
      </c>
      <c r="S9">
        <v>355.818</v>
      </c>
    </row>
    <row r="10" spans="2:7">
      <c r="B10">
        <v>104.703819071801</v>
      </c>
      <c r="C10">
        <v>13917</v>
      </c>
      <c r="D10">
        <v>28089.7</v>
      </c>
      <c r="E10">
        <v>50488.7</v>
      </c>
      <c r="F10">
        <v>107923</v>
      </c>
      <c r="G10">
        <v>174615</v>
      </c>
    </row>
    <row r="11" spans="2:17">
      <c r="B11">
        <v>104.973982198512</v>
      </c>
      <c r="C11">
        <v>13713.3</v>
      </c>
      <c r="D11">
        <v>28400</v>
      </c>
      <c r="E11">
        <v>50502.2</v>
      </c>
      <c r="F11">
        <v>107739</v>
      </c>
      <c r="G11">
        <v>174615</v>
      </c>
      <c r="J11" t="s">
        <v>14</v>
      </c>
      <c r="L11" s="3">
        <v>0.684352</v>
      </c>
      <c r="M11" s="3">
        <v>0.813753</v>
      </c>
      <c r="N11" s="3">
        <v>0.904603</v>
      </c>
      <c r="O11" s="3">
        <v>0.959403</v>
      </c>
      <c r="P11" s="3">
        <v>0.986202</v>
      </c>
      <c r="Q11" s="3">
        <v>0.996301</v>
      </c>
    </row>
    <row r="12" spans="2:7">
      <c r="B12">
        <v>105.137104040524</v>
      </c>
      <c r="C12">
        <v>13704.4</v>
      </c>
      <c r="D12">
        <v>27501.2</v>
      </c>
      <c r="E12">
        <v>50878.9</v>
      </c>
      <c r="F12">
        <v>108031</v>
      </c>
      <c r="G12">
        <v>173328</v>
      </c>
    </row>
    <row r="13" spans="2:7">
      <c r="B13">
        <f t="shared" ref="B13:G13" si="0">STDEV(B9:B12)</f>
        <v>0.194096090041101</v>
      </c>
      <c r="C13">
        <f t="shared" si="0"/>
        <v>115.824651952855</v>
      </c>
      <c r="D13">
        <f t="shared" si="0"/>
        <v>461.250267389263</v>
      </c>
      <c r="E13">
        <f t="shared" si="0"/>
        <v>211.740233934572</v>
      </c>
      <c r="F13">
        <f t="shared" si="0"/>
        <v>120.80114513806</v>
      </c>
      <c r="G13">
        <f t="shared" si="0"/>
        <v>2177.23746982271</v>
      </c>
    </row>
    <row r="14" spans="11:16">
      <c r="K14">
        <v>0.68</v>
      </c>
      <c r="L14">
        <v>0.81</v>
      </c>
      <c r="M14">
        <v>0.9</v>
      </c>
      <c r="N14">
        <v>0.95</v>
      </c>
      <c r="O14">
        <v>0.986</v>
      </c>
      <c r="P14">
        <v>0.995</v>
      </c>
    </row>
    <row r="15" spans="10:16">
      <c r="J15" t="s">
        <v>14</v>
      </c>
      <c r="K15">
        <f>325000/L9</f>
        <v>47.0772283824989</v>
      </c>
      <c r="L15">
        <f>300000/M9</f>
        <v>69.9168688429457</v>
      </c>
      <c r="M15">
        <f>195000/N9</f>
        <v>58.5285033811466</v>
      </c>
      <c r="N15">
        <f>105000/P9</f>
        <v>66.2406237974172</v>
      </c>
      <c r="O15">
        <f>46000/R9</f>
        <v>73.0119326893469</v>
      </c>
      <c r="P15">
        <f>17500/S9</f>
        <v>49.182447206156</v>
      </c>
    </row>
    <row r="16" spans="3:16">
      <c r="C16">
        <v>500</v>
      </c>
      <c r="D16">
        <v>1000</v>
      </c>
      <c r="E16">
        <v>2000</v>
      </c>
      <c r="F16">
        <v>5000</v>
      </c>
      <c r="G16">
        <v>10000</v>
      </c>
      <c r="J16" t="s">
        <v>7</v>
      </c>
      <c r="K16">
        <f>L4/L9</f>
        <v>363.495592847158</v>
      </c>
      <c r="L16">
        <f>M4/K9</f>
        <v>425.910828365989</v>
      </c>
      <c r="M16">
        <f>N4/N9</f>
        <v>345.591302964544</v>
      </c>
      <c r="N16">
        <f>O4/P9</f>
        <v>416.411272261581</v>
      </c>
      <c r="O16">
        <f>P4/R9</f>
        <v>564.142570083519</v>
      </c>
      <c r="P16">
        <f>Q4/S9</f>
        <v>516.384780983537</v>
      </c>
    </row>
    <row r="17" spans="3:7">
      <c r="C17">
        <f>C12/B12</f>
        <v>130.347893116</v>
      </c>
      <c r="D17">
        <f>D12/B12</f>
        <v>261.574638668</v>
      </c>
      <c r="E17">
        <f>E12/B12</f>
        <v>483.929060671</v>
      </c>
      <c r="F17">
        <f>F12/B12</f>
        <v>1027.52497309</v>
      </c>
      <c r="G17">
        <f>G12/B12</f>
        <v>1648.59020592</v>
      </c>
    </row>
    <row r="24" ht="15" spans="10:11">
      <c r="J24" s="4"/>
      <c r="K24" s="5"/>
    </row>
    <row r="25" ht="15" spans="10:13">
      <c r="J25" s="4"/>
      <c r="K25" s="5"/>
      <c r="M25" s="1"/>
    </row>
    <row r="26" ht="15" spans="10:11">
      <c r="J26" s="4"/>
      <c r="K26" s="5"/>
    </row>
    <row r="27" ht="15" spans="10:11">
      <c r="J27" s="4"/>
      <c r="K27" s="5"/>
    </row>
    <row r="28" ht="15" spans="10:11">
      <c r="J28" s="4"/>
      <c r="K28" s="5"/>
    </row>
    <row r="29" ht="15" spans="10:11">
      <c r="J29" s="4"/>
      <c r="K29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 James</dc:creator>
  <cp:lastModifiedBy>happy</cp:lastModifiedBy>
  <dcterms:created xsi:type="dcterms:W3CDTF">2023-05-12T11:15:00Z</dcterms:created>
  <dcterms:modified xsi:type="dcterms:W3CDTF">2025-06-30T08:17:37Z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C5D59D7DF65D4364BF1AE27F3094C9A9_12</vt:lpwstr>
  </property>
</Properties>
</file>