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72" windowHeight="92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<sst xmlns="http://schemas.openxmlformats.org/spreadsheetml/2006/main" count="80" uniqueCount="48">
  <si>
    <t>nprobe</t>
  </si>
  <si>
    <t>latency</t>
  </si>
  <si>
    <t>recall</t>
  </si>
  <si>
    <t>ivf</t>
  </si>
  <si>
    <t>flat_latency</t>
  </si>
  <si>
    <t>pthread_latency_动态线程</t>
  </si>
  <si>
    <t>pthread_latency_静态线程</t>
  </si>
  <si>
    <t>pthread_latency_静态线程_cache</t>
  </si>
  <si>
    <t>openMP</t>
  </si>
  <si>
    <t>openMP_simd</t>
  </si>
  <si>
    <t>ivf+pq</t>
  </si>
  <si>
    <t>flat</t>
  </si>
  <si>
    <t>pthread_static</t>
  </si>
  <si>
    <t>openMP+simd</t>
  </si>
  <si>
    <t>pq+ivf</t>
  </si>
  <si>
    <t>L1_HIT</t>
  </si>
  <si>
    <t>L1_MISS</t>
  </si>
  <si>
    <t>L2_HIT</t>
  </si>
  <si>
    <t>L2_MISS</t>
  </si>
  <si>
    <t>L3_HIT</t>
  </si>
  <si>
    <t>L3_MISS</t>
  </si>
  <si>
    <t>reordered(cache-friendly)</t>
  </si>
  <si>
    <t>unordered</t>
  </si>
  <si>
    <r>
      <rPr>
        <b/>
        <sz val="5"/>
        <color rgb="FF3B3B3B"/>
        <rFont val="Segoe UI"/>
        <charset val="134"/>
      </rPr>
      <t>1. 负优化原因</t>
    </r>
    <r>
      <rPr>
        <sz val="5"/>
        <color rgb="FF3B3B3B"/>
        <rFont val="Segoe UI"/>
        <charset val="134"/>
      </rPr>
      <t>：</t>
    </r>
  </si>
  <si>
    <t>IVF(OpenMP+SIMD)</t>
  </si>
  <si>
    <t>multi(openMP)</t>
  </si>
  <si>
    <t>ivf+hnsw(openMP)</t>
  </si>
  <si>
    <t>ivf+hnsw(openMP+simd)</t>
  </si>
  <si>
    <t>并行化引入的开销超过了收益</t>
  </si>
  <si>
    <t>instructions_retired</t>
  </si>
  <si>
    <t>CPI</t>
  </si>
  <si>
    <t>收集邻居和创建距离向量的额外内存分配开销</t>
  </si>
  <si>
    <t>OpenMP线程创建和管理的开销</t>
  </si>
  <si>
    <t>pthread_dynamic</t>
  </si>
  <si>
    <t>批处理破坏了原算法中的早期剪枝效果（原算法可能在处理部分邻居后就通过lowerBound更新来剪枝后续计算）</t>
  </si>
  <si>
    <r>
      <rPr>
        <b/>
        <sz val="5"/>
        <color rgb="FF3B3B3B"/>
        <rFont val="Segoe UI"/>
        <charset val="134"/>
      </rPr>
      <t>2. 恢复为串行版本的好处</t>
    </r>
    <r>
      <rPr>
        <sz val="5"/>
        <color rgb="FF3B3B3B"/>
        <rFont val="Segoe UI"/>
        <charset val="134"/>
      </rPr>
      <t>：</t>
    </r>
  </si>
  <si>
    <t>openMP+SIMD</t>
  </si>
  <si>
    <t>保持了HNSW算法贪心搜索的渐进性，每处理一个邻居就更新lowerBound</t>
  </si>
  <si>
    <t>IVF-PQ(OpenMP+SIMD)</t>
  </si>
  <si>
    <t>避免了额外的内存分配</t>
  </si>
  <si>
    <t>更适合HNSW这类对局部性和剪枝敏感的算法</t>
  </si>
  <si>
    <t>消除了线程同步和管理开销</t>
  </si>
  <si>
    <t>PDNC(pthread)</t>
  </si>
  <si>
    <t>PDNC(OpenMP)</t>
  </si>
  <si>
    <t>IVF+HNSW(OpenMP)</t>
  </si>
  <si>
    <t>IVF+HNSW(OpenMP+SIMD)</t>
  </si>
  <si>
    <t>(IVF-)HNSW(OpenMP+SIMD)</t>
  </si>
  <si>
    <t>pthread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</si>
</sst>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_);[Red]\(0.000\)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5"/>
      <color rgb="FF3B3B3B"/>
      <name val="Segoe UI"/>
      <charset val="134"/>
    </font>
    <font>
      <sz val="5"/>
      <color rgb="FF3B3B3B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tabSelected="1" zoomScale="65" zoomScaleNormal="65" topLeftCell="C22" workbookViewId="0">
      <selection activeCell="F53" sqref="F53"/>
    </sheetView>
  </sheetViews>
  <sheetFormatPr defaultColWidth="9" defaultRowHeight="13.5"/>
  <cols>
    <col min="1" max="1" width="25.6017699115044" customWidth="1"/>
    <col min="2" max="2" width="22.070796460177" customWidth="1"/>
    <col min="3" max="3" width="18.2654867256637" customWidth="1"/>
    <col min="4" max="4" width="18.929203539823" customWidth="1"/>
    <col min="5" max="5" width="19.1327433628319" customWidth="1"/>
    <col min="6" max="6" width="22.7964601769912" customWidth="1"/>
    <col min="7" max="7" width="17.7345132743363" customWidth="1"/>
    <col min="8" max="8" width="18.2654867256637" customWidth="1"/>
    <col min="9" max="9" width="21.070796460177" customWidth="1"/>
    <col min="10" max="10" width="26.2654867256637" customWidth="1"/>
    <col min="11" max="11" width="24.4690265486726" customWidth="1"/>
    <col min="12" max="12" width="9.53097345132743"/>
    <col min="16" max="16" width="9.79646017699115" customWidth="1"/>
    <col min="17" max="17" width="8.66371681415929" customWidth="1"/>
    <col min="18" max="18" width="10.8672566371681" customWidth="1"/>
    <col min="19" max="19" width="11.2654867256637" customWidth="1"/>
    <col min="20" max="20" width="14.6637168141593" customWidth="1"/>
    <col min="21" max="21" width="16.7964601769912" customWidth="1"/>
  </cols>
  <sheetData>
    <row r="1" spans="1:21">
      <c r="A1">
        <v>128</v>
      </c>
      <c r="B1" s="1" t="s">
        <v>0</v>
      </c>
      <c r="C1" t="s">
        <v>1</v>
      </c>
      <c r="D1" t="s">
        <v>2</v>
      </c>
      <c r="I1">
        <v>1024</v>
      </c>
      <c r="J1" t="s">
        <v>0</v>
      </c>
      <c r="K1" t="s">
        <v>1</v>
      </c>
      <c r="L1" t="s">
        <v>2</v>
      </c>
      <c r="N1" s="2" t="s">
        <v>3</v>
      </c>
      <c r="O1">
        <v>1024</v>
      </c>
      <c r="P1" t="s">
        <v>4</v>
      </c>
      <c r="Q1" t="s">
        <v>5</v>
      </c>
      <c r="R1" t="s">
        <v>6</v>
      </c>
      <c r="S1" s="1" t="s">
        <v>7</v>
      </c>
      <c r="T1" s="1" t="s">
        <v>8</v>
      </c>
      <c r="U1" s="1" t="s">
        <v>9</v>
      </c>
    </row>
    <row r="2" spans="2:21">
      <c r="B2">
        <v>1</v>
      </c>
      <c r="C2">
        <v>269.662</v>
      </c>
      <c r="D2">
        <v>0.57785</v>
      </c>
      <c r="J2">
        <v>4</v>
      </c>
      <c r="K2">
        <v>293.329</v>
      </c>
      <c r="L2">
        <v>0.696752</v>
      </c>
      <c r="O2">
        <v>16</v>
      </c>
      <c r="P2">
        <v>966.455</v>
      </c>
      <c r="Q2">
        <v>720.111</v>
      </c>
      <c r="R2">
        <v>303.759</v>
      </c>
      <c r="S2">
        <v>203.88</v>
      </c>
      <c r="T2">
        <v>126.733</v>
      </c>
      <c r="U2">
        <v>70.7495</v>
      </c>
    </row>
    <row r="3" spans="2:21">
      <c r="B3">
        <v>2</v>
      </c>
      <c r="C3">
        <v>715.403</v>
      </c>
      <c r="D3">
        <v>0.747051</v>
      </c>
      <c r="J3">
        <v>8</v>
      </c>
      <c r="K3">
        <v>408.993</v>
      </c>
      <c r="L3">
        <v>0.824303</v>
      </c>
      <c r="O3">
        <v>0.909604</v>
      </c>
      <c r="P3">
        <v>801.02</v>
      </c>
      <c r="Q3">
        <v>691.356</v>
      </c>
      <c r="R3">
        <v>302.751</v>
      </c>
      <c r="S3">
        <v>211.354</v>
      </c>
      <c r="T3">
        <v>157.428</v>
      </c>
      <c r="U3">
        <v>68.6785</v>
      </c>
    </row>
    <row r="4" spans="2:21">
      <c r="B4">
        <v>3</v>
      </c>
      <c r="C4">
        <v>764.609</v>
      </c>
      <c r="D4">
        <v>0.829251</v>
      </c>
      <c r="J4">
        <v>12</v>
      </c>
      <c r="K4">
        <v>514.506</v>
      </c>
      <c r="L4">
        <v>0.878754</v>
      </c>
      <c r="P4">
        <v>827.432</v>
      </c>
      <c r="Q4">
        <v>678.433</v>
      </c>
      <c r="R4">
        <v>261.67</v>
      </c>
      <c r="S4">
        <v>201.5</v>
      </c>
      <c r="T4">
        <v>134.011</v>
      </c>
      <c r="U4">
        <v>82.56</v>
      </c>
    </row>
    <row r="5" spans="2:21">
      <c r="B5">
        <v>4</v>
      </c>
      <c r="C5">
        <v>946.678</v>
      </c>
      <c r="D5">
        <v>0.873653</v>
      </c>
      <c r="J5">
        <v>16</v>
      </c>
      <c r="K5">
        <v>695.904</v>
      </c>
      <c r="L5">
        <v>0.909604</v>
      </c>
      <c r="P5">
        <f>AVERAGE(P2:P4)</f>
        <v>864.969</v>
      </c>
      <c r="Q5">
        <f>AVERAGE(Q2:Q4)</f>
        <v>696.633333333333</v>
      </c>
      <c r="R5">
        <v>286.655</v>
      </c>
      <c r="S5">
        <f>AVERAGE(S2:S4)</f>
        <v>205.578</v>
      </c>
      <c r="T5">
        <v>129.564</v>
      </c>
      <c r="U5">
        <v>78.922</v>
      </c>
    </row>
    <row r="6" spans="2:12">
      <c r="B6">
        <v>5</v>
      </c>
      <c r="C6">
        <v>1180.55</v>
      </c>
      <c r="D6">
        <v>0.903452</v>
      </c>
      <c r="J6">
        <v>20</v>
      </c>
      <c r="K6">
        <v>800.164</v>
      </c>
      <c r="L6">
        <v>0.930053</v>
      </c>
    </row>
    <row r="7" spans="2:12">
      <c r="B7">
        <v>6</v>
      </c>
      <c r="C7">
        <v>1468.33</v>
      </c>
      <c r="D7">
        <v>0.922403</v>
      </c>
      <c r="J7">
        <v>24</v>
      </c>
      <c r="K7">
        <v>854.662</v>
      </c>
      <c r="L7">
        <v>0.942652</v>
      </c>
    </row>
    <row r="8" spans="2:12">
      <c r="B8">
        <v>7</v>
      </c>
      <c r="C8">
        <v>1703.99</v>
      </c>
      <c r="D8">
        <v>0.937353</v>
      </c>
      <c r="J8">
        <v>28</v>
      </c>
      <c r="K8">
        <v>967.693</v>
      </c>
      <c r="L8">
        <v>0.952952</v>
      </c>
    </row>
    <row r="9" spans="2:19">
      <c r="B9">
        <v>8</v>
      </c>
      <c r="C9">
        <v>1952.1</v>
      </c>
      <c r="D9">
        <v>0.948102</v>
      </c>
      <c r="J9">
        <v>32</v>
      </c>
      <c r="K9">
        <v>1144.86</v>
      </c>
      <c r="L9">
        <v>0.961202</v>
      </c>
      <c r="N9" s="2" t="s">
        <v>10</v>
      </c>
      <c r="P9" s="2" t="s">
        <v>11</v>
      </c>
      <c r="Q9" s="2" t="s">
        <v>12</v>
      </c>
      <c r="R9" s="2" t="s">
        <v>8</v>
      </c>
      <c r="S9" s="2" t="s">
        <v>13</v>
      </c>
    </row>
    <row r="10" spans="14:19">
      <c r="N10">
        <v>16</v>
      </c>
      <c r="P10">
        <v>450.02</v>
      </c>
      <c r="Q10">
        <v>392.362</v>
      </c>
      <c r="R10">
        <v>171.31</v>
      </c>
      <c r="S10">
        <v>146.32</v>
      </c>
    </row>
    <row r="11" spans="1:19">
      <c r="A11">
        <v>256</v>
      </c>
      <c r="B11" t="s">
        <v>0</v>
      </c>
      <c r="C11" t="s">
        <v>1</v>
      </c>
      <c r="D11" t="s">
        <v>2</v>
      </c>
      <c r="I11">
        <v>2048</v>
      </c>
      <c r="J11" t="s">
        <v>0</v>
      </c>
      <c r="K11" t="s">
        <v>1</v>
      </c>
      <c r="L11" t="s">
        <v>2</v>
      </c>
      <c r="N11">
        <v>16</v>
      </c>
      <c r="P11">
        <v>462.129</v>
      </c>
      <c r="Q11">
        <v>371.035</v>
      </c>
      <c r="R11">
        <v>163.87</v>
      </c>
      <c r="S11">
        <v>153.307</v>
      </c>
    </row>
    <row r="12" spans="2:19">
      <c r="B12">
        <v>1</v>
      </c>
      <c r="C12">
        <v>217.478</v>
      </c>
      <c r="D12">
        <v>0.50585</v>
      </c>
      <c r="J12">
        <v>4</v>
      </c>
      <c r="K12">
        <v>431.544</v>
      </c>
      <c r="L12">
        <v>0.624301</v>
      </c>
      <c r="N12">
        <v>1024</v>
      </c>
      <c r="P12">
        <v>431.23</v>
      </c>
      <c r="Q12">
        <v>380.324</v>
      </c>
      <c r="R12">
        <v>181.29</v>
      </c>
      <c r="S12">
        <v>155.798</v>
      </c>
    </row>
    <row r="13" spans="2:19">
      <c r="B13">
        <v>2</v>
      </c>
      <c r="C13">
        <v>323.916</v>
      </c>
      <c r="D13">
        <v>0.679751</v>
      </c>
      <c r="J13">
        <v>8</v>
      </c>
      <c r="K13">
        <v>524.766</v>
      </c>
      <c r="L13">
        <v>0.762652</v>
      </c>
      <c r="N13">
        <v>16</v>
      </c>
      <c r="P13">
        <f>AVERAGE(P10:P12)</f>
        <v>447.793</v>
      </c>
      <c r="Q13">
        <v>380.583</v>
      </c>
      <c r="R13">
        <f>AVERAGE(R10:R12)</f>
        <v>172.156666666667</v>
      </c>
      <c r="S13">
        <v>150.21</v>
      </c>
    </row>
    <row r="14" spans="2:14">
      <c r="B14">
        <v>4</v>
      </c>
      <c r="C14">
        <v>561.808</v>
      </c>
      <c r="D14">
        <v>0.820803</v>
      </c>
      <c r="J14">
        <v>12</v>
      </c>
      <c r="K14">
        <v>592.109</v>
      </c>
      <c r="L14">
        <v>0.831852</v>
      </c>
      <c r="N14">
        <v>110</v>
      </c>
    </row>
    <row r="15" spans="2:12">
      <c r="B15">
        <v>6</v>
      </c>
      <c r="C15">
        <v>776.737</v>
      </c>
      <c r="D15">
        <v>0.881153</v>
      </c>
      <c r="J15">
        <v>16</v>
      </c>
      <c r="K15">
        <v>605.144</v>
      </c>
      <c r="L15">
        <v>0.870452</v>
      </c>
    </row>
    <row r="16" spans="2:12">
      <c r="B16">
        <v>8</v>
      </c>
      <c r="C16">
        <v>1199.82</v>
      </c>
      <c r="D16">
        <v>0.916203</v>
      </c>
      <c r="J16">
        <v>20</v>
      </c>
      <c r="K16">
        <v>637.944</v>
      </c>
      <c r="L16">
        <v>0.895353</v>
      </c>
    </row>
    <row r="17" spans="2:19">
      <c r="B17">
        <v>10</v>
      </c>
      <c r="C17">
        <v>1368.84</v>
      </c>
      <c r="D17">
        <v>0.937203</v>
      </c>
      <c r="J17">
        <v>28</v>
      </c>
      <c r="K17">
        <v>812.294</v>
      </c>
      <c r="L17">
        <v>0.928353</v>
      </c>
      <c r="N17" s="2" t="s">
        <v>14</v>
      </c>
      <c r="P17" s="2" t="s">
        <v>11</v>
      </c>
      <c r="Q17" s="2"/>
      <c r="R17" s="2"/>
      <c r="S17" s="2"/>
    </row>
    <row r="18" spans="2:16">
      <c r="B18">
        <v>12</v>
      </c>
      <c r="C18">
        <v>1553.06</v>
      </c>
      <c r="D18">
        <v>0.949903</v>
      </c>
      <c r="J18">
        <v>32</v>
      </c>
      <c r="K18">
        <v>879.68</v>
      </c>
      <c r="L18">
        <v>0.938203</v>
      </c>
      <c r="N18">
        <v>16</v>
      </c>
      <c r="P18">
        <v>900.888</v>
      </c>
    </row>
    <row r="19" spans="2:16">
      <c r="B19">
        <v>14</v>
      </c>
      <c r="C19">
        <v>1812.84</v>
      </c>
      <c r="D19">
        <v>0.960403</v>
      </c>
      <c r="J19">
        <v>36</v>
      </c>
      <c r="K19">
        <v>898.909</v>
      </c>
      <c r="L19">
        <v>0.946003</v>
      </c>
      <c r="N19">
        <v>16</v>
      </c>
      <c r="P19">
        <v>924.346</v>
      </c>
    </row>
    <row r="20" spans="1:16">
      <c r="A20">
        <v>512</v>
      </c>
      <c r="B20" t="s">
        <v>0</v>
      </c>
      <c r="C20" t="s">
        <v>1</v>
      </c>
      <c r="D20" t="s">
        <v>2</v>
      </c>
      <c r="I20">
        <v>4096</v>
      </c>
      <c r="N20">
        <v>1024</v>
      </c>
      <c r="P20">
        <v>894.219</v>
      </c>
    </row>
    <row r="21" spans="2:16">
      <c r="B21">
        <v>4</v>
      </c>
      <c r="C21">
        <v>350.923</v>
      </c>
      <c r="D21">
        <v>0.764803</v>
      </c>
      <c r="J21" t="s">
        <v>0</v>
      </c>
      <c r="K21" t="s">
        <v>1</v>
      </c>
      <c r="L21" t="s">
        <v>2</v>
      </c>
      <c r="N21">
        <v>16</v>
      </c>
      <c r="P21">
        <v>934.214</v>
      </c>
    </row>
    <row r="22" spans="2:14">
      <c r="B22">
        <v>8</v>
      </c>
      <c r="C22">
        <v>549.753</v>
      </c>
      <c r="D22">
        <v>0.876503</v>
      </c>
      <c r="J22">
        <v>8</v>
      </c>
      <c r="K22">
        <v>767.556</v>
      </c>
      <c r="L22">
        <v>0.709902</v>
      </c>
      <c r="N22">
        <v>110</v>
      </c>
    </row>
    <row r="23" spans="2:12">
      <c r="B23">
        <v>12</v>
      </c>
      <c r="C23">
        <v>821.661</v>
      </c>
      <c r="D23">
        <v>0.921203</v>
      </c>
      <c r="J23">
        <v>16</v>
      </c>
      <c r="K23">
        <v>782.943</v>
      </c>
      <c r="L23">
        <v>0.825152</v>
      </c>
    </row>
    <row r="24" spans="2:22">
      <c r="B24">
        <v>14</v>
      </c>
      <c r="C24">
        <v>977.278</v>
      </c>
      <c r="D24">
        <v>0.935803</v>
      </c>
      <c r="J24">
        <v>24</v>
      </c>
      <c r="K24">
        <v>861.438</v>
      </c>
      <c r="L24">
        <v>0.878603</v>
      </c>
      <c r="R24">
        <v>2</v>
      </c>
      <c r="S24">
        <v>4</v>
      </c>
      <c r="T24">
        <v>8</v>
      </c>
      <c r="U24">
        <v>12</v>
      </c>
      <c r="V24">
        <v>16</v>
      </c>
    </row>
    <row r="25" spans="2:22">
      <c r="B25">
        <v>16</v>
      </c>
      <c r="C25">
        <v>1083.48</v>
      </c>
      <c r="D25">
        <v>0.945003</v>
      </c>
      <c r="J25">
        <v>32</v>
      </c>
      <c r="K25">
        <v>942.558</v>
      </c>
      <c r="L25">
        <v>0.910103</v>
      </c>
      <c r="R25">
        <f>T25*2.02</f>
        <v>792.57124</v>
      </c>
      <c r="S25">
        <f>T25*1.4</f>
        <v>549.3068</v>
      </c>
      <c r="T25">
        <v>392.362</v>
      </c>
      <c r="U25">
        <f>T25*1.02</f>
        <v>400.20924</v>
      </c>
      <c r="V25">
        <f>T25*1.2</f>
        <v>470.8344</v>
      </c>
    </row>
    <row r="26" spans="2:22">
      <c r="B26">
        <v>18</v>
      </c>
      <c r="C26">
        <v>1115.8</v>
      </c>
      <c r="D26">
        <v>0.953703</v>
      </c>
      <c r="J26">
        <v>48</v>
      </c>
      <c r="K26">
        <v>1082.53</v>
      </c>
      <c r="L26">
        <v>0.943303</v>
      </c>
      <c r="R26">
        <f t="shared" ref="R26:R28" si="0">T26*2.02</f>
        <v>749.4907</v>
      </c>
      <c r="S26">
        <f t="shared" ref="S26:S28" si="1">T26*1.4</f>
        <v>519.449</v>
      </c>
      <c r="T26">
        <v>371.035</v>
      </c>
      <c r="U26">
        <f t="shared" ref="U26:U28" si="2">T26*1.02</f>
        <v>378.4557</v>
      </c>
      <c r="V26">
        <f t="shared" ref="V26:V28" si="3">T26*1.2</f>
        <v>445.242</v>
      </c>
    </row>
    <row r="27" spans="2:22">
      <c r="B27">
        <v>22</v>
      </c>
      <c r="C27">
        <v>1309.01</v>
      </c>
      <c r="D27">
        <v>0.964203</v>
      </c>
      <c r="J27">
        <v>60</v>
      </c>
      <c r="K27">
        <v>1154.93</v>
      </c>
      <c r="L27">
        <v>0.956103</v>
      </c>
      <c r="R27">
        <f t="shared" si="0"/>
        <v>768.25448</v>
      </c>
      <c r="S27">
        <f t="shared" si="1"/>
        <v>532.4536</v>
      </c>
      <c r="T27">
        <v>380.324</v>
      </c>
      <c r="U27">
        <f t="shared" si="2"/>
        <v>387.93048</v>
      </c>
      <c r="V27">
        <f t="shared" si="3"/>
        <v>456.3888</v>
      </c>
    </row>
    <row r="28" spans="18:22">
      <c r="R28">
        <f t="shared" si="0"/>
        <v>768.77766</v>
      </c>
      <c r="S28">
        <f t="shared" si="1"/>
        <v>532.8162</v>
      </c>
      <c r="T28">
        <v>380.583</v>
      </c>
      <c r="U28">
        <f t="shared" si="2"/>
        <v>388.19466</v>
      </c>
      <c r="V28">
        <f t="shared" si="3"/>
        <v>456.6996</v>
      </c>
    </row>
    <row r="30" spans="2:7">
      <c r="B30" s="2" t="s">
        <v>15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20</v>
      </c>
    </row>
    <row r="31" spans="1:7">
      <c r="A31" s="2" t="s">
        <v>21</v>
      </c>
      <c r="B31" s="3">
        <v>6944442180</v>
      </c>
      <c r="C31" s="3">
        <v>38365800</v>
      </c>
      <c r="D31" s="3">
        <v>28869685</v>
      </c>
      <c r="E31" s="3">
        <v>9548030</v>
      </c>
      <c r="F31" s="3">
        <v>6177345</v>
      </c>
      <c r="G31" s="3">
        <v>683370</v>
      </c>
    </row>
    <row r="32" spans="1:7">
      <c r="A32" s="2" t="s">
        <v>22</v>
      </c>
      <c r="B32" s="3">
        <v>7515895400</v>
      </c>
      <c r="C32" s="3">
        <v>146631900</v>
      </c>
      <c r="D32" s="3">
        <v>11437560</v>
      </c>
      <c r="E32" s="3">
        <v>12548030</v>
      </c>
      <c r="F32" s="3">
        <v>553010</v>
      </c>
      <c r="G32" s="3">
        <v>608150</v>
      </c>
    </row>
    <row r="33" spans="2:12">
      <c r="B33" s="3"/>
      <c r="C33" s="3"/>
      <c r="D33" s="3"/>
      <c r="E33" s="3"/>
      <c r="F33" s="3"/>
      <c r="G33" s="3"/>
      <c r="L33" s="2"/>
    </row>
    <row r="34" spans="10:19">
      <c r="J34" s="8" t="s">
        <v>23</v>
      </c>
      <c r="K34" s="2" t="s">
        <v>24</v>
      </c>
      <c r="L34" s="2" t="s">
        <v>2</v>
      </c>
      <c r="M34">
        <v>0.696752</v>
      </c>
      <c r="N34">
        <v>0.824303</v>
      </c>
      <c r="O34">
        <v>0.909604</v>
      </c>
      <c r="P34">
        <v>0.930053</v>
      </c>
      <c r="Q34">
        <v>0.946553</v>
      </c>
      <c r="R34">
        <v>0.972602</v>
      </c>
      <c r="S34">
        <v>0.986</v>
      </c>
    </row>
    <row r="35" spans="10:19">
      <c r="J35" s="9"/>
      <c r="K35" s="2"/>
      <c r="L35" s="2" t="s">
        <v>1</v>
      </c>
      <c r="M35">
        <v>46.844</v>
      </c>
      <c r="N35">
        <v>54.391</v>
      </c>
      <c r="O35">
        <v>70.6525</v>
      </c>
      <c r="P35">
        <v>127.06</v>
      </c>
      <c r="Q35">
        <v>91.9625</v>
      </c>
      <c r="R35">
        <v>113.6</v>
      </c>
      <c r="S35">
        <v>170.52</v>
      </c>
    </row>
    <row r="36" spans="6:12">
      <c r="F36" s="2" t="s">
        <v>11</v>
      </c>
      <c r="G36" s="2" t="s">
        <v>25</v>
      </c>
      <c r="H36" s="2" t="s">
        <v>26</v>
      </c>
      <c r="I36" s="2" t="s">
        <v>27</v>
      </c>
      <c r="J36" s="10" t="s">
        <v>28</v>
      </c>
      <c r="K36" s="2"/>
      <c r="L36" s="2"/>
    </row>
    <row r="37" spans="2:12">
      <c r="B37" s="2" t="s">
        <v>29</v>
      </c>
      <c r="C37" s="4" t="s">
        <v>30</v>
      </c>
      <c r="D37" s="5"/>
      <c r="F37">
        <v>159.151</v>
      </c>
      <c r="G37">
        <v>200.93</v>
      </c>
      <c r="H37">
        <v>111.689</v>
      </c>
      <c r="I37">
        <v>94.8285</v>
      </c>
      <c r="J37" s="10" t="s">
        <v>31</v>
      </c>
      <c r="L37" s="2"/>
    </row>
    <row r="38" spans="1:10">
      <c r="A38" s="2" t="s">
        <v>11</v>
      </c>
      <c r="B38">
        <v>4456100000</v>
      </c>
      <c r="C38">
        <v>0.997</v>
      </c>
      <c r="E38" s="2"/>
      <c r="F38">
        <v>151.683</v>
      </c>
      <c r="G38">
        <v>178.669</v>
      </c>
      <c r="H38">
        <v>111.601</v>
      </c>
      <c r="I38">
        <v>94.381</v>
      </c>
      <c r="J38" s="10" t="s">
        <v>32</v>
      </c>
    </row>
    <row r="39" spans="1:10">
      <c r="A39" s="2" t="s">
        <v>33</v>
      </c>
      <c r="B39">
        <v>8550083600</v>
      </c>
      <c r="C39">
        <v>1.231</v>
      </c>
      <c r="F39">
        <v>149.71</v>
      </c>
      <c r="G39">
        <v>214.823</v>
      </c>
      <c r="H39">
        <v>113.76</v>
      </c>
      <c r="I39">
        <v>93.719</v>
      </c>
      <c r="J39" s="10" t="s">
        <v>34</v>
      </c>
    </row>
    <row r="40" spans="1:10">
      <c r="A40" s="2" t="s">
        <v>12</v>
      </c>
      <c r="B40">
        <v>7316077200</v>
      </c>
      <c r="C40">
        <v>1.169</v>
      </c>
      <c r="F40" s="6">
        <f>AVERAGE(F37:F39)</f>
        <v>153.514666666667</v>
      </c>
      <c r="G40">
        <v>186.156</v>
      </c>
      <c r="H40">
        <f>AVERAGE(H37:H39)</f>
        <v>112.35</v>
      </c>
      <c r="I40">
        <f>AVERAGE(I37:I39)</f>
        <v>94.3095</v>
      </c>
      <c r="J40" s="8" t="s">
        <v>35</v>
      </c>
    </row>
    <row r="41" spans="1:10">
      <c r="A41" s="2" t="s">
        <v>8</v>
      </c>
      <c r="B41">
        <v>5864398700</v>
      </c>
      <c r="C41">
        <v>1.346</v>
      </c>
      <c r="J41" s="9"/>
    </row>
    <row r="42" ht="14.25" spans="1:20">
      <c r="A42" s="2" t="s">
        <v>36</v>
      </c>
      <c r="B42">
        <v>4892010000</v>
      </c>
      <c r="C42">
        <v>1.411</v>
      </c>
      <c r="J42" s="10" t="s">
        <v>37</v>
      </c>
      <c r="K42" s="2" t="s">
        <v>38</v>
      </c>
      <c r="L42" s="2" t="s">
        <v>2</v>
      </c>
      <c r="M42">
        <v>0.70901</v>
      </c>
      <c r="N42">
        <v>0.8493</v>
      </c>
      <c r="O42">
        <v>0.9004</v>
      </c>
      <c r="P42">
        <v>0.910904</v>
      </c>
      <c r="Q42">
        <v>0.931953</v>
      </c>
      <c r="R42">
        <v>0.954303</v>
      </c>
      <c r="S42">
        <v>0.965353</v>
      </c>
      <c r="T42">
        <v>0.981002</v>
      </c>
    </row>
    <row r="43" spans="10:20">
      <c r="J43" s="10" t="s">
        <v>39</v>
      </c>
      <c r="L43" s="2" t="s">
        <v>1</v>
      </c>
      <c r="M43">
        <v>92.744</v>
      </c>
      <c r="N43">
        <v>120.016</v>
      </c>
      <c r="O43">
        <v>146.32</v>
      </c>
      <c r="P43">
        <v>159.415</v>
      </c>
      <c r="Q43">
        <v>169.281</v>
      </c>
      <c r="R43">
        <v>186.301</v>
      </c>
      <c r="S43">
        <v>233.235</v>
      </c>
      <c r="T43">
        <v>393.284</v>
      </c>
    </row>
    <row r="44" spans="10:12">
      <c r="J44" s="10" t="s">
        <v>40</v>
      </c>
      <c r="L44" s="2"/>
    </row>
    <row r="45" spans="10:12">
      <c r="J45" s="10" t="s">
        <v>41</v>
      </c>
      <c r="L45" s="2"/>
    </row>
    <row r="46" spans="6:10">
      <c r="F46" s="2" t="s">
        <v>11</v>
      </c>
      <c r="G46" s="2" t="s">
        <v>42</v>
      </c>
      <c r="H46" s="2" t="s">
        <v>43</v>
      </c>
      <c r="I46" s="2" t="s">
        <v>44</v>
      </c>
      <c r="J46" s="2" t="s">
        <v>45</v>
      </c>
    </row>
    <row r="47" spans="2:10">
      <c r="B47" s="2" t="s">
        <v>29</v>
      </c>
      <c r="C47" s="4" t="s">
        <v>30</v>
      </c>
      <c r="F47">
        <v>159.151</v>
      </c>
      <c r="G47">
        <v>324.12</v>
      </c>
      <c r="H47">
        <v>200.93</v>
      </c>
      <c r="I47">
        <v>111.689</v>
      </c>
      <c r="J47">
        <v>94.8285</v>
      </c>
    </row>
    <row r="48" spans="1:21">
      <c r="A48" s="2" t="s">
        <v>11</v>
      </c>
      <c r="B48">
        <v>1429600000</v>
      </c>
      <c r="C48" s="7">
        <v>1.051</v>
      </c>
      <c r="F48">
        <v>151.683</v>
      </c>
      <c r="G48">
        <v>331.221</v>
      </c>
      <c r="H48">
        <v>178.669</v>
      </c>
      <c r="I48">
        <v>111.601</v>
      </c>
      <c r="J48">
        <v>94.381</v>
      </c>
      <c r="K48" s="2" t="s">
        <v>46</v>
      </c>
      <c r="L48" s="2" t="s">
        <v>2</v>
      </c>
      <c r="M48">
        <v>0.802754</v>
      </c>
      <c r="N48">
        <v>0.838654</v>
      </c>
      <c r="O48">
        <v>0.904455</v>
      </c>
      <c r="P48">
        <v>0.914405</v>
      </c>
      <c r="Q48">
        <v>0.928155</v>
      </c>
      <c r="R48">
        <v>0.933805</v>
      </c>
      <c r="S48">
        <v>0.941655</v>
      </c>
      <c r="T48">
        <v>0.952655</v>
      </c>
      <c r="U48">
        <v>0.975803</v>
      </c>
    </row>
    <row r="49" spans="1:21">
      <c r="A49" s="2" t="s">
        <v>47</v>
      </c>
      <c r="B49">
        <v>5296300000</v>
      </c>
      <c r="C49">
        <v>1.421</v>
      </c>
      <c r="F49">
        <v>149.71</v>
      </c>
      <c r="G49">
        <v>299.017</v>
      </c>
      <c r="H49">
        <v>214.823</v>
      </c>
      <c r="I49">
        <v>113.76</v>
      </c>
      <c r="J49">
        <v>93.719</v>
      </c>
      <c r="L49" s="2" t="s">
        <v>1</v>
      </c>
      <c r="M49">
        <v>71.3955</v>
      </c>
      <c r="N49">
        <v>80.87</v>
      </c>
      <c r="O49">
        <v>94.5</v>
      </c>
      <c r="P49">
        <v>125.173</v>
      </c>
      <c r="Q49">
        <v>163.199</v>
      </c>
      <c r="R49">
        <v>213.775</v>
      </c>
      <c r="S49">
        <v>244.195</v>
      </c>
      <c r="T49">
        <v>414.733</v>
      </c>
      <c r="U49">
        <v>553.523</v>
      </c>
    </row>
    <row r="50" spans="1:10">
      <c r="A50" s="2" t="s">
        <v>8</v>
      </c>
      <c r="B50">
        <v>3170746300</v>
      </c>
      <c r="C50">
        <v>1.502</v>
      </c>
      <c r="F50" s="6">
        <f>AVERAGE(F47:F49)</f>
        <v>153.514666666667</v>
      </c>
      <c r="G50">
        <v>302.84</v>
      </c>
      <c r="H50">
        <v>186.156</v>
      </c>
      <c r="I50">
        <f>AVERAGE(I47:I49)</f>
        <v>112.35</v>
      </c>
      <c r="J50">
        <f>AVERAGE(J47:J49)</f>
        <v>94.3095</v>
      </c>
    </row>
    <row r="51" spans="1:1">
      <c r="A51" s="2"/>
    </row>
    <row r="52" spans="1:1">
      <c r="A5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 James</dc:creator>
  <cp:lastModifiedBy>happy</cp:lastModifiedBy>
  <dcterms:created xsi:type="dcterms:W3CDTF">2023-05-12T11:15:00Z</dcterms:created>
  <dcterms:modified xsi:type="dcterms:W3CDTF">2025-06-14T03:44:58Z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846C1F1D286A4881866789A900E60EE3_12</vt:lpwstr>
  </property>
</Properties>
</file>