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0752" windowHeight="9555"/>
  </bookViews>
  <sheets>
    <sheet name="Sheet1" sheetId="1" r:id="rId1"/>
    <sheet name="Sheet2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<sst xmlns="http://schemas.openxmlformats.org/spreadsheetml/2006/main" count="23" uniqueCount="7">
  <si>
    <t>time</t>
  </si>
  <si>
    <t>recall</t>
  </si>
  <si>
    <t>平凡算法</t>
  </si>
  <si>
    <t>instruction retired</t>
  </si>
  <si>
    <t>119520148800</t>
  </si>
  <si>
    <t>CPI</t>
  </si>
  <si>
    <t>memory bound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</si>
</sst>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0"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" fillId="0" borderId="0" applyNumberForma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3" borderId="4" applyNumberFormat="0" applyAlignment="0" applyProtection="0">
      <alignment vertical="center"/>
    </xf>
    <xf numFmtId="0" fontId="10" fillId="4" borderId="5" applyNumberFormat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6" applyNumberFormat="0" applyAlignment="0" applyProtection="0">
      <alignment vertical="center"/>
    </xf>
    <xf numFmtId="0" fontId="13" fillId="0" borderId="7" applyNumberFormat="0" applyFill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6" borderId="0" applyNumberFormat="0" applyBorder="0" applyAlignment="0" applyProtection="0">
      <alignment vertical="center"/>
    </xf>
    <xf numFmtId="0" fontId="16" fillId="7" borderId="0" applyNumberFormat="0" applyBorder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18" fillId="12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18" fillId="16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18" fillId="20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18" fillId="24" borderId="0" applyNumberFormat="0" applyBorder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19" fillId="27" borderId="0" applyNumberFormat="0" applyBorder="0" applyAlignment="0" applyProtection="0">
      <alignment vertical="center"/>
    </xf>
    <xf numFmtId="0" fontId="18" fillId="28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19" fillId="31" borderId="0" applyNumberFormat="0" applyBorder="0" applyAlignment="0" applyProtection="0">
      <alignment vertical="center"/>
    </xf>
    <xf numFmtId="0" fontId="18" fillId="32" borderId="0" applyNumberFormat="0" applyBorder="0" applyAlignment="0" applyProtection="0">
      <alignment vertical="center"/>
    </xf>
  </cellStyleXfs>
  <cellXfs count="3">
    <xf numFmtId="0" fontId="0" fillId="0" borderId="0" xfId="0">
      <alignment vertical="center"/>
    </xf>
    <xf numFmtId="10" fontId="0" fillId="0" borderId="0" xfId="0" applyNumberFormat="1">
      <alignment vertical="center"/>
    </xf>
    <xf numFmtId="9" fontId="0" fillId="0" borderId="0" xfId="0" applyNumberFormat="1">
      <alignment vertical="center"/>
    </xf>
    <xf numFmtId="0" fontId="0" fillId="0" borderId="0" xfId="0" quotePrefix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32"/>
  <sheetViews>
    <sheetView tabSelected="1" zoomScale="123" zoomScaleNormal="123" workbookViewId="0">
      <selection activeCell="G15" sqref="G15"/>
    </sheetView>
  </sheetViews>
  <sheetFormatPr defaultColWidth="9" defaultRowHeight="13.5"/>
  <cols>
    <col min="1" max="1" width="10.3628318584071" customWidth="1"/>
    <col min="2" max="2" width="13.6814159292035" customWidth="1"/>
    <col min="4" max="4" width="9.53097345132743"/>
    <col min="8" max="8" width="9.53097345132743"/>
    <col min="11" max="11" width="9.53097345132743"/>
    <col min="14" max="14" width="23.4955752212389" customWidth="1"/>
    <col min="15" max="16" width="16.7964601769912" customWidth="1"/>
    <col min="17" max="17" width="19.7433628318584" customWidth="1"/>
    <col min="18" max="18" width="16.0442477876106" customWidth="1"/>
    <col min="19" max="19" width="18.8230088495575" customWidth="1"/>
  </cols>
  <sheetData>
    <row r="1" spans="1:12">
      <c r="A1" t="s">
        <v>0</v>
      </c>
      <c r="B1" t="s">
        <v>1</v>
      </c>
      <c r="D1" t="s">
        <v>0</v>
      </c>
      <c r="E1" t="s">
        <v>1</v>
      </c>
      <c r="G1" t="s">
        <v>0</v>
      </c>
      <c r="H1" t="s">
        <v>1</v>
      </c>
      <c r="K1" t="s">
        <v>0</v>
      </c>
      <c r="L1" t="s">
        <v>1</v>
      </c>
    </row>
    <row r="2" spans="1:12">
      <c r="A2">
        <v>15820.5</v>
      </c>
      <c r="B2">
        <v>0.99995</v>
      </c>
      <c r="D2">
        <v>8254.43</v>
      </c>
      <c r="E2">
        <v>0.99995</v>
      </c>
      <c r="G2">
        <v>5528.52</v>
      </c>
      <c r="H2">
        <v>0.982303</v>
      </c>
      <c r="K2">
        <v>8254.43</v>
      </c>
      <c r="L2">
        <v>0.99995</v>
      </c>
    </row>
    <row r="3" spans="1:12">
      <c r="A3">
        <v>21795.9</v>
      </c>
      <c r="B3">
        <v>0.99995</v>
      </c>
      <c r="D3">
        <v>9952.46</v>
      </c>
      <c r="E3">
        <v>0.99995</v>
      </c>
      <c r="G3">
        <v>5535.54</v>
      </c>
      <c r="H3">
        <v>0.982303</v>
      </c>
      <c r="K3">
        <v>9952.46</v>
      </c>
      <c r="L3">
        <v>0.99995</v>
      </c>
    </row>
    <row r="4" spans="1:12">
      <c r="A4">
        <v>21134.3</v>
      </c>
      <c r="B4">
        <v>0.99995</v>
      </c>
      <c r="D4">
        <v>7575.31</v>
      </c>
      <c r="E4">
        <v>0.99995</v>
      </c>
      <c r="G4">
        <v>5597.49</v>
      </c>
      <c r="H4">
        <v>0.982303</v>
      </c>
      <c r="K4">
        <v>7575.31</v>
      </c>
      <c r="L4">
        <v>0.99995</v>
      </c>
    </row>
    <row r="5" spans="1:12">
      <c r="A5">
        <v>16243.4</v>
      </c>
      <c r="B5">
        <v>0.99995</v>
      </c>
      <c r="D5">
        <v>8103.94</v>
      </c>
      <c r="E5">
        <v>0.99995</v>
      </c>
      <c r="G5">
        <v>5572.33</v>
      </c>
      <c r="H5">
        <v>0.982303</v>
      </c>
      <c r="K5">
        <v>8103.94</v>
      </c>
      <c r="L5">
        <v>0.99995</v>
      </c>
    </row>
    <row r="6" spans="1:12">
      <c r="A6">
        <v>16243.4</v>
      </c>
      <c r="B6">
        <v>0.99995</v>
      </c>
      <c r="D6">
        <v>8799.77</v>
      </c>
      <c r="E6">
        <v>0.99995</v>
      </c>
      <c r="G6">
        <v>5655.36</v>
      </c>
      <c r="H6">
        <v>0.982303</v>
      </c>
      <c r="K6">
        <v>8799.77</v>
      </c>
      <c r="L6">
        <v>0.99995</v>
      </c>
    </row>
    <row r="7" spans="1:12">
      <c r="A7">
        <f>AVERAGE(A2:A6)</f>
        <v>18247.5</v>
      </c>
      <c r="B7">
        <f t="shared" ref="B7:H7" si="0">AVERAGE(B2:B6)</f>
        <v>0.99995</v>
      </c>
      <c r="D7">
        <f t="shared" si="0"/>
        <v>8537.182</v>
      </c>
      <c r="E7">
        <f t="shared" si="0"/>
        <v>0.99995</v>
      </c>
      <c r="G7">
        <f t="shared" si="0"/>
        <v>5577.848</v>
      </c>
      <c r="H7">
        <f t="shared" si="0"/>
        <v>0.982303</v>
      </c>
      <c r="K7">
        <f>AVERAGE(K2:K6)</f>
        <v>8537.182</v>
      </c>
      <c r="L7">
        <f>AVERAGE(L2:L6)</f>
        <v>0.99995</v>
      </c>
    </row>
    <row r="9" spans="11:19">
      <c r="K9" t="s">
        <v>0</v>
      </c>
      <c r="L9" t="s">
        <v>1</v>
      </c>
      <c r="O9" t="s">
        <v>2</v>
      </c>
      <c r="P9">
        <v>4</v>
      </c>
      <c r="Q9">
        <v>8</v>
      </c>
      <c r="R9">
        <v>16</v>
      </c>
      <c r="S9">
        <v>32</v>
      </c>
    </row>
    <row r="10" spans="4:19">
      <c r="D10" t="s">
        <v>0</v>
      </c>
      <c r="E10" t="s">
        <v>1</v>
      </c>
      <c r="K10">
        <v>5909.58</v>
      </c>
      <c r="L10">
        <v>0.99995</v>
      </c>
      <c r="N10" t="s">
        <v>3</v>
      </c>
      <c r="O10" s="3" t="s">
        <v>4</v>
      </c>
      <c r="P10">
        <f>14291464100+19414247900</f>
        <v>33705712000</v>
      </c>
      <c r="Q10">
        <f>8547534000+8101354000</f>
        <v>16648888000</v>
      </c>
      <c r="R10">
        <f>9015385600+5614856600</f>
        <v>14630242200</v>
      </c>
      <c r="S10">
        <f>4865274200+4333682600</f>
        <v>9198956800</v>
      </c>
    </row>
    <row r="11" spans="4:19">
      <c r="D11">
        <v>4573.64</v>
      </c>
      <c r="E11">
        <v>0.99995</v>
      </c>
      <c r="K11">
        <v>5849.69</v>
      </c>
      <c r="L11">
        <v>0.99995</v>
      </c>
      <c r="N11" t="s">
        <v>5</v>
      </c>
      <c r="O11">
        <v>0.337</v>
      </c>
      <c r="P11">
        <v>0.396</v>
      </c>
      <c r="Q11">
        <v>0.545</v>
      </c>
      <c r="R11">
        <v>0.722</v>
      </c>
      <c r="S11">
        <v>1.347</v>
      </c>
    </row>
    <row r="12" spans="4:19">
      <c r="D12">
        <v>4582.23</v>
      </c>
      <c r="E12">
        <v>0.99995</v>
      </c>
      <c r="K12">
        <v>5655.36</v>
      </c>
      <c r="L12">
        <v>0.99995</v>
      </c>
      <c r="N12" t="s">
        <v>6</v>
      </c>
      <c r="O12" s="1">
        <v>0.17</v>
      </c>
      <c r="P12" s="1">
        <v>0.337</v>
      </c>
      <c r="Q12" s="1">
        <v>0.4521</v>
      </c>
      <c r="R12" s="2">
        <v>0.64</v>
      </c>
      <c r="S12" s="2">
        <v>0.87</v>
      </c>
    </row>
    <row r="13" spans="4:12">
      <c r="D13">
        <v>4690.32</v>
      </c>
      <c r="E13">
        <v>0.99995</v>
      </c>
      <c r="K13">
        <v>5597.49</v>
      </c>
      <c r="L13">
        <v>0.99995</v>
      </c>
    </row>
    <row r="14" spans="4:12">
      <c r="D14">
        <v>4994.82</v>
      </c>
      <c r="E14">
        <v>0.99995</v>
      </c>
      <c r="K14">
        <v>5560.34</v>
      </c>
      <c r="L14">
        <v>0.99995</v>
      </c>
    </row>
    <row r="15" spans="4:12">
      <c r="D15">
        <v>4573.64</v>
      </c>
      <c r="E15">
        <v>0.99995</v>
      </c>
      <c r="K15">
        <f>AVERAGE(K10:K14)</f>
        <v>5714.492</v>
      </c>
      <c r="L15">
        <f>AVERAGE(L10:L14)</f>
        <v>0.99995</v>
      </c>
    </row>
    <row r="16" spans="4:5">
      <c r="D16">
        <f>AVERAGE(D11:D15)</f>
        <v>4682.93</v>
      </c>
      <c r="E16">
        <f>AVERAGE(E11:E15)</f>
        <v>0.99995</v>
      </c>
    </row>
    <row r="17" spans="11:12">
      <c r="K17" t="s">
        <v>0</v>
      </c>
      <c r="L17" t="s">
        <v>1</v>
      </c>
    </row>
    <row r="18" spans="11:12">
      <c r="K18">
        <v>4573.64</v>
      </c>
      <c r="L18">
        <v>0.99995</v>
      </c>
    </row>
    <row r="19" spans="4:12">
      <c r="D19" t="s">
        <v>0</v>
      </c>
      <c r="E19" t="s">
        <v>1</v>
      </c>
      <c r="K19">
        <v>4582.23</v>
      </c>
      <c r="L19">
        <v>0.99995</v>
      </c>
    </row>
    <row r="20" spans="4:12">
      <c r="D20">
        <v>7123.33</v>
      </c>
      <c r="E20">
        <v>0.99995</v>
      </c>
      <c r="K20">
        <v>4690.32</v>
      </c>
      <c r="L20">
        <v>0.99995</v>
      </c>
    </row>
    <row r="21" spans="4:12">
      <c r="D21">
        <v>4212.13</v>
      </c>
      <c r="E21">
        <v>0.99995</v>
      </c>
      <c r="K21">
        <v>4994.82</v>
      </c>
      <c r="L21">
        <v>0.99995</v>
      </c>
    </row>
    <row r="22" spans="4:12">
      <c r="D22">
        <v>5908.87</v>
      </c>
      <c r="E22">
        <v>0.99995</v>
      </c>
      <c r="K22">
        <v>4573.64</v>
      </c>
      <c r="L22">
        <v>0.99995</v>
      </c>
    </row>
    <row r="23" spans="4:12">
      <c r="D23">
        <v>5908.87</v>
      </c>
      <c r="E23">
        <v>0.99995</v>
      </c>
      <c r="K23">
        <f>AVERAGE(K18:K22)</f>
        <v>4682.93</v>
      </c>
      <c r="L23">
        <f>AVERAGE(L18:L22)</f>
        <v>0.99995</v>
      </c>
    </row>
    <row r="24" spans="4:5">
      <c r="D24">
        <v>5301.64</v>
      </c>
      <c r="E24">
        <v>0.99995</v>
      </c>
    </row>
    <row r="25" spans="4:5">
      <c r="D25">
        <f>AVERAGE(D20:D24)</f>
        <v>5690.968</v>
      </c>
      <c r="E25">
        <f>AVERAGE(E20:E24)</f>
        <v>0.99995</v>
      </c>
    </row>
    <row r="26" spans="11:12">
      <c r="K26" t="s">
        <v>0</v>
      </c>
      <c r="L26" t="s">
        <v>1</v>
      </c>
    </row>
    <row r="27" spans="11:12">
      <c r="K27">
        <v>7123.33</v>
      </c>
      <c r="L27">
        <v>0.99995</v>
      </c>
    </row>
    <row r="28" spans="11:12">
      <c r="K28">
        <v>4212.13</v>
      </c>
      <c r="L28">
        <v>0.99995</v>
      </c>
    </row>
    <row r="29" spans="11:12">
      <c r="K29">
        <v>5908.87</v>
      </c>
      <c r="L29">
        <v>0.99995</v>
      </c>
    </row>
    <row r="30" spans="11:12">
      <c r="K30">
        <v>5908.87</v>
      </c>
      <c r="L30">
        <v>0.99995</v>
      </c>
    </row>
    <row r="31" spans="11:12">
      <c r="K31">
        <v>5301.64</v>
      </c>
      <c r="L31">
        <v>0.99995</v>
      </c>
    </row>
    <row r="32" spans="11:12">
      <c r="K32">
        <f>AVERAGE(K27:K31)</f>
        <v>5690.968</v>
      </c>
      <c r="L32">
        <f>AVERAGE(L27:L31)</f>
        <v>0.99995</v>
      </c>
    </row>
  </sheetData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happy</cp:lastModifiedBy>
  <dcterms:created xsi:type="dcterms:W3CDTF">2023-05-12T11:15:00Z</dcterms:created>
  <dcterms:modified xsi:type="dcterms:W3CDTF">2025-04-23T00:10:07Z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2052-12.1.0.20784</vt:lpwstr>
  </property>
  <property fmtid="{D5CDD505-2E9C-101B-9397-08002B2CF9AE}" pid="3" name="ICV">
    <vt:lpwstr>D1AB64F23B444C479FBF8E81ABC4001B_12</vt:lpwstr>
  </property>
</Properties>
</file>