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<sst xmlns="http://schemas.openxmlformats.org/spreadsheetml/2006/main" count="51" uniqueCount="26">
  <si>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time</t>
  </si>
  <si>
    <t>recall</t>
  </si>
  <si>
    <t>平凡算法</t>
  </si>
  <si>
    <t>instruction retired</t>
  </si>
  <si>
    <t>119520148800</t>
  </si>
  <si>
    <t>CPI</t>
  </si>
  <si>
    <t>memory bound</t>
  </si>
  <si>
    <t>L1_HIT</t>
  </si>
  <si>
    <t>L1_MISS</t>
  </si>
  <si>
    <t>L2_HIT</t>
  </si>
  <si>
    <t>L2_MISS</t>
  </si>
  <si>
    <t>L3_HIT</t>
  </si>
  <si>
    <t>L3_MISS</t>
  </si>
  <si>
    <t>不对齐</t>
  </si>
  <si>
    <t>对齐</t>
  </si>
  <si>
    <t>instructions retired</t>
  </si>
  <si>
    <t>n</t>
  </si>
  <si>
    <t>latency</t>
  </si>
  <si>
    <t>对齐：</t>
  </si>
  <si>
    <t>平凡</t>
  </si>
  <si>
    <t>simd</t>
  </si>
  <si>
    <t>不对齐：</t>
  </si>
  <si>
    <t>time_flat_avx</t>
  </si>
  <si>
    <t>time_simd_avx</t>
  </si>
  <si>
    <t>time_flat_neon</t>
  </si>
  <si>
    <t>time_跨向量simd_neon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</si>
</sst>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"/>
  <sheetViews>
    <sheetView tabSelected="1" topLeftCell="A26" workbookViewId="0">
      <selection activeCell="K30" sqref="K30"/>
    </sheetView>
  </sheetViews>
  <sheetFormatPr defaultColWidth="9" defaultRowHeight="13.5"/>
  <cols>
    <col min="1" max="1" width="10.3628318584071" customWidth="1"/>
    <col min="2" max="2" width="13.6814159292035" customWidth="1"/>
    <col min="3" max="3" width="12.7964601769912"/>
    <col min="4" max="5" width="10.5309734513274"/>
    <col min="6" max="8" width="9.53097345132743"/>
    <col min="10" max="10" width="22.9026548672566" customWidth="1"/>
    <col min="11" max="11" width="29.4778761061947" customWidth="1"/>
    <col min="13" max="13" width="12.7964601769912"/>
    <col min="14" max="14" width="23.4955752212389" customWidth="1"/>
    <col min="15" max="15" width="21.5044247787611" customWidth="1"/>
    <col min="16" max="16" width="20.8938053097345" customWidth="1"/>
    <col min="17" max="17" width="16.7964601769912" customWidth="1"/>
    <col min="18" max="18" width="19.7433628318584" customWidth="1"/>
    <col min="19" max="19" width="16.0442477876106" customWidth="1"/>
    <col min="20" max="20" width="18.8230088495575" customWidth="1"/>
  </cols>
  <sheetData>
    <row r="1" spans="1:12">
      <c r="A1" t="s">
        <v>0</v>
      </c>
      <c r="B1" t="s">
        <v>1</v>
      </c>
      <c r="G1" t="s">
        <v>0</v>
      </c>
      <c r="H1" t="s">
        <v>1</v>
      </c>
      <c r="K1" t="s">
        <v>0</v>
      </c>
      <c r="L1" t="s">
        <v>1</v>
      </c>
    </row>
    <row r="2" spans="1:12">
      <c r="A2">
        <v>15820.5</v>
      </c>
      <c r="B2">
        <v>0.99995</v>
      </c>
      <c r="G2">
        <v>5528.52</v>
      </c>
      <c r="H2">
        <v>0.982303</v>
      </c>
      <c r="K2">
        <v>8254.43</v>
      </c>
      <c r="L2">
        <v>0.99995</v>
      </c>
    </row>
    <row r="3" spans="1:12">
      <c r="A3">
        <v>21795.9</v>
      </c>
      <c r="B3">
        <v>0.99995</v>
      </c>
      <c r="G3">
        <v>5535.54</v>
      </c>
      <c r="H3">
        <v>0.982303</v>
      </c>
      <c r="K3">
        <v>9952.46</v>
      </c>
      <c r="L3">
        <v>0.99995</v>
      </c>
    </row>
    <row r="4" spans="1:12">
      <c r="A4">
        <v>21134.3</v>
      </c>
      <c r="B4">
        <v>0.99995</v>
      </c>
      <c r="G4">
        <v>5597.49</v>
      </c>
      <c r="H4">
        <v>0.982303</v>
      </c>
      <c r="K4">
        <v>7575.31</v>
      </c>
      <c r="L4">
        <v>0.99995</v>
      </c>
    </row>
    <row r="5" spans="1:12">
      <c r="A5">
        <v>16243.4</v>
      </c>
      <c r="B5">
        <v>0.99995</v>
      </c>
      <c r="G5">
        <v>5572.33</v>
      </c>
      <c r="H5">
        <v>0.982303</v>
      </c>
      <c r="K5">
        <v>8103.94</v>
      </c>
      <c r="L5">
        <v>0.99995</v>
      </c>
    </row>
    <row r="6" spans="1:12">
      <c r="A6">
        <v>16243.4</v>
      </c>
      <c r="B6">
        <v>0.99995</v>
      </c>
      <c r="G6">
        <v>5655.36</v>
      </c>
      <c r="H6">
        <v>0.982303</v>
      </c>
      <c r="K6">
        <v>8799.77</v>
      </c>
      <c r="L6">
        <v>0.99995</v>
      </c>
    </row>
    <row r="7" spans="1:12">
      <c r="A7">
        <f>AVERAGE(A2:A6)</f>
        <v>18247.5</v>
      </c>
      <c r="B7">
        <f t="shared" ref="B7:H7" si="0">AVERAGE(B2:B6)</f>
        <v>0.99995</v>
      </c>
      <c r="G7">
        <f t="shared" si="0"/>
        <v>5577.848</v>
      </c>
      <c r="H7">
        <f t="shared" si="0"/>
        <v>0.982303</v>
      </c>
      <c r="K7">
        <f>AVERAGE(K2:K6)</f>
        <v>8537.182</v>
      </c>
      <c r="L7">
        <f>AVERAGE(L2:L6)</f>
        <v>0.99995</v>
      </c>
    </row>
    <row r="9" spans="11:20">
      <c r="K9" t="s">
        <v>0</v>
      </c>
      <c r="L9" t="s">
        <v>1</v>
      </c>
      <c r="O9" t="s">
        <v>2</v>
      </c>
      <c r="Q9">
        <v>4</v>
      </c>
      <c r="R9">
        <v>8</v>
      </c>
      <c r="S9">
        <v>16</v>
      </c>
      <c r="T9">
        <v>32</v>
      </c>
    </row>
    <row r="10" spans="11:20">
      <c r="K10">
        <v>5909.58</v>
      </c>
      <c r="L10">
        <v>0.99995</v>
      </c>
      <c r="N10" t="s">
        <v>3</v>
      </c>
      <c r="O10" s="7" t="s">
        <v>4</v>
      </c>
      <c r="Q10">
        <f>14291464100+19414247900</f>
        <v>33705712000</v>
      </c>
      <c r="R10">
        <f>8547534000+8101354000</f>
        <v>16648888000</v>
      </c>
      <c r="S10">
        <f>9015385600+5614856600</f>
        <v>14630242200</v>
      </c>
      <c r="T10">
        <f>4865274200+4333682600</f>
        <v>9198956800</v>
      </c>
    </row>
    <row r="11" spans="11:20">
      <c r="K11">
        <v>5849.69</v>
      </c>
      <c r="L11">
        <v>0.99995</v>
      </c>
      <c r="N11" t="s">
        <v>5</v>
      </c>
      <c r="O11">
        <v>0.337</v>
      </c>
      <c r="Q11">
        <v>0.396</v>
      </c>
      <c r="R11">
        <v>0.545</v>
      </c>
      <c r="S11">
        <v>0.722</v>
      </c>
      <c r="T11">
        <v>1.347</v>
      </c>
    </row>
    <row r="12" spans="11:20">
      <c r="K12">
        <v>5655.36</v>
      </c>
      <c r="L12">
        <v>0.99995</v>
      </c>
      <c r="N12" t="s">
        <v>6</v>
      </c>
      <c r="O12" s="3">
        <v>0.17</v>
      </c>
      <c r="P12" s="3"/>
      <c r="Q12" s="3">
        <v>0.337</v>
      </c>
      <c r="R12" s="3">
        <v>0.4521</v>
      </c>
      <c r="S12" s="6">
        <v>0.64</v>
      </c>
      <c r="T12" s="6">
        <v>0.87</v>
      </c>
    </row>
    <row r="13" spans="1:12">
      <c r="A13" t="s">
        <v>0</v>
      </c>
      <c r="B13" t="s">
        <v>1</v>
      </c>
      <c r="K13">
        <v>5597.49</v>
      </c>
      <c r="L13">
        <v>0.99995</v>
      </c>
    </row>
    <row r="14" spans="1:12">
      <c r="A14">
        <v>2824.07</v>
      </c>
      <c r="B14">
        <v>0.902005</v>
      </c>
      <c r="E14" t="s">
        <v>0</v>
      </c>
      <c r="F14" t="s">
        <v>1</v>
      </c>
      <c r="K14">
        <v>5560.34</v>
      </c>
      <c r="L14">
        <v>0.99995</v>
      </c>
    </row>
    <row r="15" spans="1:12">
      <c r="A15">
        <v>2783.2</v>
      </c>
      <c r="B15">
        <v>0.902005</v>
      </c>
      <c r="E15">
        <v>758.156</v>
      </c>
      <c r="F15">
        <v>0.902455</v>
      </c>
      <c r="K15">
        <f>AVERAGE(K10:K14)</f>
        <v>5714.492</v>
      </c>
      <c r="L15">
        <f>AVERAGE(L10:L14)</f>
        <v>0.99995</v>
      </c>
    </row>
    <row r="16" spans="1:20">
      <c r="A16">
        <v>2889.45</v>
      </c>
      <c r="B16">
        <v>0.902005</v>
      </c>
      <c r="E16">
        <v>759.52</v>
      </c>
      <c r="F16">
        <v>0.902455</v>
      </c>
      <c r="O16" t="s">
        <v>7</v>
      </c>
      <c r="P16" t="s">
        <v>8</v>
      </c>
      <c r="Q16" t="s">
        <v>9</v>
      </c>
      <c r="R16" t="s">
        <v>10</v>
      </c>
      <c r="S16" t="s">
        <v>11</v>
      </c>
      <c r="T16" t="s">
        <v>12</v>
      </c>
    </row>
    <row r="17" spans="1:20">
      <c r="A17">
        <v>2814.32</v>
      </c>
      <c r="B17">
        <v>0.902005</v>
      </c>
      <c r="E17">
        <v>801.12</v>
      </c>
      <c r="F17">
        <v>0.902455</v>
      </c>
      <c r="K17" t="s">
        <v>0</v>
      </c>
      <c r="L17" t="s">
        <v>1</v>
      </c>
      <c r="N17" t="s">
        <v>13</v>
      </c>
      <c r="O17" s="4">
        <v>1863262025</v>
      </c>
      <c r="P17" s="4">
        <v>30328110</v>
      </c>
      <c r="Q17" s="4">
        <v>23114105</v>
      </c>
      <c r="R17" s="4">
        <v>7224110</v>
      </c>
      <c r="S17" s="4">
        <v>4640670</v>
      </c>
      <c r="T17" s="4">
        <v>2573420</v>
      </c>
    </row>
    <row r="18" spans="1:20">
      <c r="A18">
        <f>AVERAGE(A14:A17)</f>
        <v>2827.76</v>
      </c>
      <c r="B18">
        <v>0.902005</v>
      </c>
      <c r="E18">
        <v>799.21</v>
      </c>
      <c r="F18">
        <v>0.902455</v>
      </c>
      <c r="K18">
        <v>4573.64</v>
      </c>
      <c r="L18">
        <v>0.99995</v>
      </c>
      <c r="N18" t="s">
        <v>14</v>
      </c>
      <c r="O18" s="4">
        <v>1878594665</v>
      </c>
      <c r="P18" s="4">
        <v>28998520</v>
      </c>
      <c r="Q18" s="4">
        <v>22234840</v>
      </c>
      <c r="R18" s="4">
        <v>6773545</v>
      </c>
      <c r="S18" s="4">
        <v>4410995</v>
      </c>
      <c r="T18" s="4">
        <v>2228345</v>
      </c>
    </row>
    <row r="19" spans="5:17">
      <c r="E19">
        <v>756.505</v>
      </c>
      <c r="F19">
        <v>0.902455</v>
      </c>
      <c r="K19">
        <v>4582.23</v>
      </c>
      <c r="L19">
        <v>0.99995</v>
      </c>
      <c r="Q19" s="4"/>
    </row>
    <row r="20" spans="1:18">
      <c r="A20" t="s">
        <v>0</v>
      </c>
      <c r="B20" t="s">
        <v>1</v>
      </c>
      <c r="K20">
        <v>4690.32</v>
      </c>
      <c r="L20">
        <v>0.99995</v>
      </c>
      <c r="O20" t="s">
        <v>15</v>
      </c>
      <c r="P20"/>
      <c r="Q20" s="4"/>
      <c r="R20" s="4"/>
    </row>
    <row r="21" spans="1:18">
      <c r="A21">
        <v>2391.53</v>
      </c>
      <c r="B21">
        <v>0.902005</v>
      </c>
      <c r="K21">
        <v>4994.82</v>
      </c>
      <c r="L21">
        <v>0.99995</v>
      </c>
      <c r="N21" t="s">
        <v>13</v>
      </c>
      <c r="O21" s="4">
        <v>7648900000</v>
      </c>
      <c r="Q21" s="4"/>
      <c r="R21" s="4"/>
    </row>
    <row r="22" spans="1:18">
      <c r="A22">
        <v>2408.27</v>
      </c>
      <c r="B22">
        <v>0.902005</v>
      </c>
      <c r="C22"/>
      <c r="D22"/>
      <c r="E22"/>
      <c r="K22">
        <v>4573.64</v>
      </c>
      <c r="L22">
        <v>0.99995</v>
      </c>
      <c r="N22" t="s">
        <v>14</v>
      </c>
      <c r="O22" s="4">
        <v>7411049800</v>
      </c>
      <c r="Q22" s="4"/>
      <c r="R22" s="4"/>
    </row>
    <row r="23" spans="1:18">
      <c r="A23">
        <v>2392.97</v>
      </c>
      <c r="B23">
        <v>0.902005</v>
      </c>
      <c r="F23" s="1" t="s">
        <v>16</v>
      </c>
      <c r="G23" s="1" t="s">
        <v>1</v>
      </c>
      <c r="H23" s="1" t="s">
        <v>17</v>
      </c>
      <c r="K23">
        <f>AVERAGE(K18:K22)</f>
        <v>4682.93</v>
      </c>
      <c r="L23">
        <f>AVERAGE(L18:L22)</f>
        <v>0.99995</v>
      </c>
      <c r="Q23" s="4"/>
      <c r="R23" s="4"/>
    </row>
    <row r="24" spans="1:19">
      <c r="A24">
        <v>2392.64</v>
      </c>
      <c r="B24">
        <v>0.902005</v>
      </c>
      <c r="F24" s="1">
        <v>10</v>
      </c>
      <c r="G24" s="1">
        <v>0.27245</v>
      </c>
      <c r="H24" s="1">
        <v>471.978</v>
      </c>
      <c r="Q24" s="4">
        <v>2000</v>
      </c>
      <c r="R24" s="4">
        <v>5000</v>
      </c>
      <c r="S24">
        <v>10000</v>
      </c>
    </row>
    <row r="25" spans="6:19">
      <c r="F25" s="1">
        <v>20</v>
      </c>
      <c r="G25" s="1">
        <v>0.400351</v>
      </c>
      <c r="H25" s="1">
        <v>478.112</v>
      </c>
      <c r="N25" t="s">
        <v>18</v>
      </c>
      <c r="O25" t="s">
        <v>17</v>
      </c>
      <c r="P25" s="5" t="s">
        <v>19</v>
      </c>
      <c r="Q25">
        <v>18247.5</v>
      </c>
      <c r="R25" s="4">
        <v>17974.9</v>
      </c>
      <c r="S25">
        <v>18004.7</v>
      </c>
    </row>
    <row r="26" spans="6:17">
      <c r="F26" s="1">
        <v>30</v>
      </c>
      <c r="G26" s="1">
        <v>0.48645</v>
      </c>
      <c r="H26" s="1">
        <v>489.113</v>
      </c>
      <c r="O26">
        <v>696.25</v>
      </c>
      <c r="P26" s="5" t="s">
        <v>20</v>
      </c>
      <c r="Q26" s="4"/>
    </row>
    <row r="27" spans="1:15">
      <c r="A27">
        <f>AVERAGE(A21:A24)</f>
        <v>2396.3525</v>
      </c>
      <c r="B27">
        <v>0.902005</v>
      </c>
      <c r="F27" s="1">
        <v>50</v>
      </c>
      <c r="G27" s="1">
        <v>0.59745</v>
      </c>
      <c r="H27" s="1">
        <v>501.493</v>
      </c>
      <c r="O27">
        <v>699.375</v>
      </c>
    </row>
    <row r="28" spans="6:15">
      <c r="F28" s="1">
        <v>90</v>
      </c>
      <c r="G28" s="1">
        <v>0.720751</v>
      </c>
      <c r="H28" s="1">
        <v>547.407</v>
      </c>
      <c r="K28" t="s">
        <v>0</v>
      </c>
      <c r="L28" t="s">
        <v>1</v>
      </c>
      <c r="O28">
        <v>695.979</v>
      </c>
    </row>
    <row r="29" spans="1:15">
      <c r="A29" s="2" t="s">
        <v>0</v>
      </c>
      <c r="B29" s="2" t="s">
        <v>1</v>
      </c>
      <c r="F29" s="1">
        <v>130</v>
      </c>
      <c r="G29" s="1">
        <v>0.790802</v>
      </c>
      <c r="H29" s="1">
        <v>570.865</v>
      </c>
      <c r="K29">
        <v>7123.33</v>
      </c>
      <c r="L29">
        <v>0.99995</v>
      </c>
      <c r="O29">
        <v>700.625</v>
      </c>
    </row>
    <row r="30" spans="1:15">
      <c r="A30" s="2">
        <v>696.25</v>
      </c>
      <c r="B30" s="2">
        <v>0.902455</v>
      </c>
      <c r="F30" s="1">
        <v>170</v>
      </c>
      <c r="G30" s="1">
        <v>0.834353</v>
      </c>
      <c r="H30" s="1">
        <v>605.166</v>
      </c>
      <c r="K30">
        <v>4212.13</v>
      </c>
      <c r="L30">
        <v>0.99995</v>
      </c>
      <c r="O30">
        <f>AVERAGE(O26:O29)</f>
        <v>698.05725</v>
      </c>
    </row>
    <row r="31" spans="1:12">
      <c r="A31" s="2">
        <v>699.375</v>
      </c>
      <c r="B31" s="2">
        <v>0.902455</v>
      </c>
      <c r="F31" s="1">
        <v>210</v>
      </c>
      <c r="G31" s="1">
        <v>0.866803</v>
      </c>
      <c r="H31" s="1">
        <v>640.945</v>
      </c>
      <c r="K31">
        <v>5908.87</v>
      </c>
      <c r="L31">
        <v>0.99995</v>
      </c>
    </row>
    <row r="32" spans="1:15">
      <c r="A32" s="2">
        <v>695.979</v>
      </c>
      <c r="B32" s="2">
        <v>0.902455</v>
      </c>
      <c r="F32" s="1">
        <v>250</v>
      </c>
      <c r="G32" s="1">
        <v>0.888905</v>
      </c>
      <c r="H32" s="1">
        <v>669.32</v>
      </c>
      <c r="K32">
        <v>5908.87</v>
      </c>
      <c r="L32">
        <v>0.99995</v>
      </c>
      <c r="N32" t="s">
        <v>21</v>
      </c>
      <c r="O32" t="s">
        <v>17</v>
      </c>
    </row>
    <row r="33" spans="1:15">
      <c r="A33" s="2">
        <v>700.625</v>
      </c>
      <c r="B33" s="2">
        <v>0.902455</v>
      </c>
      <c r="F33" s="1">
        <v>290</v>
      </c>
      <c r="G33" s="1">
        <v>0.906305</v>
      </c>
      <c r="H33" s="1">
        <v>696.414</v>
      </c>
      <c r="K33">
        <v>5301.64</v>
      </c>
      <c r="L33">
        <v>0.99995</v>
      </c>
      <c r="O33">
        <v>758.156</v>
      </c>
    </row>
    <row r="34" spans="1:15">
      <c r="A34" s="2">
        <f>AVERAGE(A30:A33)</f>
        <v>698.05725</v>
      </c>
      <c r="B34" s="2">
        <v>0.902455</v>
      </c>
      <c r="F34" s="1">
        <v>330</v>
      </c>
      <c r="G34" s="1">
        <v>0.918705</v>
      </c>
      <c r="H34" s="1">
        <v>768.15</v>
      </c>
      <c r="K34">
        <f>AVERAGE(K29:K33)</f>
        <v>5690.968</v>
      </c>
      <c r="L34">
        <f>AVERAGE(L29:L33)</f>
        <v>0.99995</v>
      </c>
      <c r="O34">
        <v>759.52</v>
      </c>
    </row>
    <row r="35" spans="6:15">
      <c r="F35" s="1">
        <v>370</v>
      </c>
      <c r="G35" s="1">
        <v>0.929055</v>
      </c>
      <c r="H35" s="1">
        <v>760.404</v>
      </c>
      <c r="O35">
        <v>801.12</v>
      </c>
    </row>
    <row r="36" spans="1:15">
      <c r="A36" t="s">
        <v>0</v>
      </c>
      <c r="B36" t="s">
        <v>1</v>
      </c>
      <c r="F36" s="1">
        <v>410</v>
      </c>
      <c r="G36" s="1">
        <v>0.937355</v>
      </c>
      <c r="H36" s="1">
        <v>807.88</v>
      </c>
      <c r="O36">
        <v>799.21</v>
      </c>
    </row>
    <row r="37" spans="1:15">
      <c r="A37">
        <v>758.156</v>
      </c>
      <c r="B37">
        <v>0.902455</v>
      </c>
      <c r="F37" s="1">
        <v>450</v>
      </c>
      <c r="G37" s="1">
        <v>0.945405</v>
      </c>
      <c r="H37" s="1">
        <v>818.655</v>
      </c>
      <c r="J37" t="s">
        <v>22</v>
      </c>
      <c r="K37" t="s">
        <v>23</v>
      </c>
      <c r="O37">
        <v>756.505</v>
      </c>
    </row>
    <row r="38" spans="1:11">
      <c r="A38">
        <v>759.52</v>
      </c>
      <c r="B38">
        <v>0.902455</v>
      </c>
      <c r="F38" s="1">
        <v>490</v>
      </c>
      <c r="G38" s="1">
        <v>0.951054</v>
      </c>
      <c r="H38" s="1">
        <v>839.306</v>
      </c>
      <c r="J38">
        <v>1129.79</v>
      </c>
      <c r="K38">
        <v>802.563</v>
      </c>
    </row>
    <row r="39" spans="1:11">
      <c r="A39">
        <v>801.12</v>
      </c>
      <c r="B39">
        <v>0.902455</v>
      </c>
      <c r="F39" s="1">
        <v>1000</v>
      </c>
      <c r="G39" s="1">
        <v>0.985202</v>
      </c>
      <c r="H39" s="1">
        <v>1330.27</v>
      </c>
      <c r="J39">
        <v>1138.28</v>
      </c>
      <c r="K39">
        <v>752.857</v>
      </c>
    </row>
    <row r="40" spans="1:11">
      <c r="A40">
        <v>799.21</v>
      </c>
      <c r="B40">
        <v>0.902455</v>
      </c>
      <c r="J40">
        <v>1143.9</v>
      </c>
      <c r="K40">
        <v>751.557</v>
      </c>
    </row>
    <row r="41" spans="1:11">
      <c r="A41">
        <v>756.505</v>
      </c>
      <c r="B41">
        <v>0.902455</v>
      </c>
      <c r="J41">
        <v>1097.76</v>
      </c>
      <c r="K41">
        <v>750.966</v>
      </c>
    </row>
    <row r="43" spans="10:11">
      <c r="J43" t="s">
        <v>24</v>
      </c>
      <c r="K43" t="s">
        <v>25</v>
      </c>
    </row>
    <row r="44" spans="10:11">
      <c r="J44">
        <v>2824.07</v>
      </c>
      <c r="K44">
        <v>2391.53</v>
      </c>
    </row>
    <row r="45" spans="10:11">
      <c r="J45">
        <v>2783.2</v>
      </c>
      <c r="K45">
        <v>2408.27</v>
      </c>
    </row>
    <row r="46" spans="10:11">
      <c r="J46">
        <v>2889.45</v>
      </c>
      <c r="K46">
        <v>2392.97</v>
      </c>
    </row>
    <row r="47" spans="10:11">
      <c r="J47">
        <v>2814.32</v>
      </c>
      <c r="K47">
        <v>2392.64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8" sqref="A1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8" sqref="A1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</cp:lastModifiedBy>
  <dcterms:created xsi:type="dcterms:W3CDTF">2023-05-12T11:15:00Z</dcterms:created>
  <dcterms:modified xsi:type="dcterms:W3CDTF">2025-04-28T12:29:51Z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D1AB64F23B444C479FBF8E81ABC4001B_12</vt:lpwstr>
  </property>
</Properties>
</file>